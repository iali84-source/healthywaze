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li/Downloads/"/>
    </mc:Choice>
  </mc:AlternateContent>
  <xr:revisionPtr revIDLastSave="0" documentId="13_ncr:1_{7CDA136E-E485-6047-AE94-FCE295D219CE}" xr6:coauthVersionLast="47" xr6:coauthVersionMax="47" xr10:uidLastSave="{00000000-0000-0000-0000-000000000000}"/>
  <bookViews>
    <workbookView xWindow="0" yWindow="0" windowWidth="38400" windowHeight="21600" xr2:uid="{8A4F0C1A-1744-411F-9CAA-506023624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1" l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3" i="1"/>
  <c r="K4" i="1"/>
  <c r="K5" i="1"/>
  <c r="K6" i="1"/>
  <c r="K7" i="1"/>
  <c r="K8" i="1"/>
  <c r="K2" i="1"/>
  <c r="J221" i="1"/>
  <c r="J220" i="1"/>
  <c r="J219" i="1"/>
  <c r="J218" i="1"/>
  <c r="J217" i="1"/>
  <c r="J210" i="1"/>
  <c r="J209" i="1"/>
  <c r="J208" i="1"/>
  <c r="J207" i="1"/>
  <c r="J206" i="1"/>
  <c r="J193" i="1"/>
  <c r="J192" i="1"/>
  <c r="J191" i="1"/>
  <c r="J190" i="1"/>
  <c r="J189" i="1"/>
  <c r="J182" i="1"/>
  <c r="J181" i="1"/>
  <c r="J167" i="1"/>
  <c r="J166" i="1"/>
  <c r="J165" i="1"/>
  <c r="J164" i="1"/>
  <c r="J163" i="1"/>
  <c r="J162" i="1"/>
  <c r="J161" i="1"/>
  <c r="J149" i="1"/>
  <c r="J140" i="1"/>
  <c r="J139" i="1"/>
  <c r="J138" i="1"/>
  <c r="J137" i="1"/>
  <c r="J136" i="1"/>
  <c r="J135" i="1"/>
  <c r="J124" i="1"/>
  <c r="J123" i="1"/>
  <c r="J122" i="1"/>
  <c r="J121" i="1"/>
  <c r="J120" i="1"/>
  <c r="J119" i="1"/>
  <c r="J112" i="1"/>
  <c r="J111" i="1"/>
  <c r="J110" i="1"/>
  <c r="J109" i="1"/>
  <c r="J98" i="1"/>
  <c r="J97" i="1"/>
  <c r="J96" i="1"/>
  <c r="J95" i="1"/>
  <c r="J94" i="1"/>
  <c r="J93" i="1"/>
  <c r="J92" i="1"/>
  <c r="J91" i="1"/>
  <c r="J84" i="1"/>
  <c r="J83" i="1"/>
  <c r="J67" i="1"/>
  <c r="J66" i="1"/>
  <c r="J65" i="1"/>
  <c r="J64" i="1"/>
  <c r="J63" i="1"/>
  <c r="J39" i="1"/>
  <c r="J38" i="1"/>
  <c r="J37" i="1"/>
  <c r="J25" i="1"/>
  <c r="J24" i="1"/>
  <c r="J23" i="1"/>
  <c r="J22" i="1"/>
  <c r="J21" i="1"/>
  <c r="J14" i="1"/>
  <c r="J13" i="1"/>
  <c r="J12" i="1"/>
  <c r="J11" i="1"/>
  <c r="I226" i="1"/>
  <c r="J226" i="1" s="1"/>
  <c r="I225" i="1"/>
  <c r="J225" i="1" s="1"/>
  <c r="I224" i="1"/>
  <c r="J224" i="1" s="1"/>
  <c r="I223" i="1"/>
  <c r="J223" i="1" s="1"/>
  <c r="I222" i="1"/>
  <c r="J222" i="1" s="1"/>
  <c r="I215" i="1"/>
  <c r="I214" i="1"/>
  <c r="I212" i="1"/>
  <c r="J212" i="1" s="1"/>
  <c r="I211" i="1"/>
  <c r="J211" i="1" s="1"/>
  <c r="I210" i="1"/>
  <c r="I209" i="1"/>
  <c r="I208" i="1"/>
  <c r="I198" i="1"/>
  <c r="J198" i="1" s="1"/>
  <c r="I197" i="1"/>
  <c r="J197" i="1" s="1"/>
  <c r="I196" i="1"/>
  <c r="J196" i="1" s="1"/>
  <c r="I195" i="1"/>
  <c r="J195" i="1" s="1"/>
  <c r="I194" i="1"/>
  <c r="J194" i="1" s="1"/>
  <c r="I184" i="1"/>
  <c r="J184" i="1" s="1"/>
  <c r="I183" i="1"/>
  <c r="J183" i="1" s="1"/>
  <c r="I182" i="1"/>
  <c r="I181" i="1"/>
  <c r="I180" i="1"/>
  <c r="J180" i="1" s="1"/>
  <c r="I170" i="1"/>
  <c r="J170" i="1" s="1"/>
  <c r="I169" i="1"/>
  <c r="J169" i="1" s="1"/>
  <c r="I168" i="1"/>
  <c r="J168" i="1" s="1"/>
  <c r="I167" i="1"/>
  <c r="I166" i="1"/>
  <c r="I156" i="1"/>
  <c r="J156" i="1" s="1"/>
  <c r="I155" i="1"/>
  <c r="J155" i="1" s="1"/>
  <c r="I154" i="1"/>
  <c r="J154" i="1" s="1"/>
  <c r="I153" i="1"/>
  <c r="J153" i="1" s="1"/>
  <c r="I152" i="1"/>
  <c r="J152" i="1" s="1"/>
  <c r="I146" i="1"/>
  <c r="I145" i="1"/>
  <c r="I144" i="1"/>
  <c r="I142" i="1"/>
  <c r="J142" i="1" s="1"/>
  <c r="I141" i="1"/>
  <c r="J141" i="1" s="1"/>
  <c r="I140" i="1"/>
  <c r="I139" i="1"/>
  <c r="I138" i="1"/>
  <c r="I128" i="1"/>
  <c r="J128" i="1" s="1"/>
  <c r="I127" i="1"/>
  <c r="J127" i="1" s="1"/>
  <c r="I126" i="1"/>
  <c r="J126" i="1" s="1"/>
  <c r="I125" i="1"/>
  <c r="J125" i="1" s="1"/>
  <c r="I124" i="1"/>
  <c r="I114" i="1"/>
  <c r="J114" i="1" s="1"/>
  <c r="I113" i="1"/>
  <c r="J113" i="1" s="1"/>
  <c r="I112" i="1"/>
  <c r="I111" i="1"/>
  <c r="I110" i="1"/>
  <c r="I104" i="1"/>
  <c r="I103" i="1"/>
  <c r="I102" i="1"/>
  <c r="I101" i="1"/>
  <c r="I100" i="1"/>
  <c r="J100" i="1" s="1"/>
  <c r="I99" i="1"/>
  <c r="J99" i="1" s="1"/>
  <c r="I98" i="1"/>
  <c r="I97" i="1"/>
  <c r="I96" i="1"/>
  <c r="I86" i="1"/>
  <c r="J86" i="1" s="1"/>
  <c r="I85" i="1"/>
  <c r="J85" i="1" s="1"/>
  <c r="I84" i="1"/>
  <c r="I83" i="1"/>
  <c r="I82" i="1"/>
  <c r="J82" i="1" s="1"/>
  <c r="I72" i="1"/>
  <c r="J72" i="1" s="1"/>
  <c r="I71" i="1"/>
  <c r="J71" i="1" s="1"/>
  <c r="I70" i="1"/>
  <c r="J70" i="1" s="1"/>
  <c r="I69" i="1"/>
  <c r="J69" i="1" s="1"/>
  <c r="I68" i="1"/>
  <c r="J68" i="1" s="1"/>
  <c r="I62" i="1"/>
  <c r="I61" i="1"/>
  <c r="I60" i="1"/>
  <c r="I59" i="1"/>
  <c r="I58" i="1"/>
  <c r="J58" i="1" s="1"/>
  <c r="I57" i="1"/>
  <c r="J57" i="1" s="1"/>
  <c r="I56" i="1"/>
  <c r="J56" i="1" s="1"/>
  <c r="I55" i="1"/>
  <c r="J55" i="1" s="1"/>
  <c r="I54" i="1"/>
  <c r="J54" i="1" s="1"/>
  <c r="I44" i="1"/>
  <c r="J44" i="1" s="1"/>
  <c r="I43" i="1"/>
  <c r="J43" i="1" s="1"/>
  <c r="I42" i="1"/>
  <c r="J42" i="1" s="1"/>
  <c r="I41" i="1"/>
  <c r="J41" i="1" s="1"/>
  <c r="I40" i="1"/>
  <c r="J40" i="1" s="1"/>
  <c r="I34" i="1"/>
  <c r="I30" i="1"/>
  <c r="J30" i="1" s="1"/>
  <c r="I29" i="1"/>
  <c r="J29" i="1" s="1"/>
  <c r="I28" i="1"/>
  <c r="J28" i="1" s="1"/>
  <c r="I27" i="1"/>
  <c r="J27" i="1" s="1"/>
  <c r="I26" i="1"/>
  <c r="J26" i="1" s="1"/>
  <c r="I16" i="1"/>
  <c r="J16" i="1" s="1"/>
  <c r="I15" i="1"/>
  <c r="J15" i="1" s="1"/>
  <c r="I14" i="1"/>
  <c r="I13" i="1"/>
  <c r="I12" i="1"/>
  <c r="I2" i="1"/>
  <c r="J2" i="1" s="1"/>
  <c r="H230" i="1"/>
  <c r="H229" i="1"/>
  <c r="H228" i="1"/>
  <c r="I228" i="1" s="1"/>
  <c r="H227" i="1"/>
  <c r="H226" i="1"/>
  <c r="H225" i="1"/>
  <c r="H224" i="1"/>
  <c r="H223" i="1"/>
  <c r="H222" i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H215" i="1"/>
  <c r="H214" i="1"/>
  <c r="H213" i="1"/>
  <c r="H212" i="1"/>
  <c r="H211" i="1"/>
  <c r="H210" i="1"/>
  <c r="H209" i="1"/>
  <c r="H208" i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H201" i="1"/>
  <c r="I201" i="1" s="1"/>
  <c r="H200" i="1"/>
  <c r="H199" i="1"/>
  <c r="H198" i="1"/>
  <c r="H197" i="1"/>
  <c r="H196" i="1"/>
  <c r="H195" i="1"/>
  <c r="H194" i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H187" i="1"/>
  <c r="H186" i="1"/>
  <c r="H185" i="1"/>
  <c r="H184" i="1"/>
  <c r="H183" i="1"/>
  <c r="H182" i="1"/>
  <c r="H181" i="1"/>
  <c r="H180" i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H173" i="1"/>
  <c r="H172" i="1"/>
  <c r="I172" i="1" s="1"/>
  <c r="H171" i="1"/>
  <c r="H170" i="1"/>
  <c r="H169" i="1"/>
  <c r="H168" i="1"/>
  <c r="H167" i="1"/>
  <c r="H166" i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H156" i="1"/>
  <c r="H155" i="1"/>
  <c r="H154" i="1"/>
  <c r="H153" i="1"/>
  <c r="H152" i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H145" i="1"/>
  <c r="H144" i="1"/>
  <c r="H143" i="1"/>
  <c r="H142" i="1"/>
  <c r="H141" i="1"/>
  <c r="H140" i="1"/>
  <c r="H139" i="1"/>
  <c r="H138" i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H130" i="1"/>
  <c r="H129" i="1"/>
  <c r="H128" i="1"/>
  <c r="H127" i="1"/>
  <c r="H126" i="1"/>
  <c r="H125" i="1"/>
  <c r="H124" i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H116" i="1"/>
  <c r="I116" i="1" s="1"/>
  <c r="H115" i="1"/>
  <c r="H114" i="1"/>
  <c r="H113" i="1"/>
  <c r="H112" i="1"/>
  <c r="H111" i="1"/>
  <c r="H110" i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H103" i="1"/>
  <c r="H102" i="1"/>
  <c r="H101" i="1"/>
  <c r="H100" i="1"/>
  <c r="H99" i="1"/>
  <c r="H98" i="1"/>
  <c r="H97" i="1"/>
  <c r="H96" i="1"/>
  <c r="H95" i="1"/>
  <c r="I95" i="1" s="1"/>
  <c r="H94" i="1"/>
  <c r="I94" i="1" s="1"/>
  <c r="H93" i="1"/>
  <c r="I93" i="1" s="1"/>
  <c r="H92" i="1"/>
  <c r="I92" i="1" s="1"/>
  <c r="H91" i="1"/>
  <c r="I91" i="1" s="1"/>
  <c r="H90" i="1"/>
  <c r="H89" i="1"/>
  <c r="I89" i="1" s="1"/>
  <c r="H88" i="1"/>
  <c r="H87" i="1"/>
  <c r="H86" i="1"/>
  <c r="H85" i="1"/>
  <c r="H84" i="1"/>
  <c r="H83" i="1"/>
  <c r="H82" i="1"/>
  <c r="H81" i="1"/>
  <c r="I81" i="1" s="1"/>
  <c r="H80" i="1"/>
  <c r="I80" i="1" s="1"/>
  <c r="H79" i="1"/>
  <c r="I79" i="1" s="1"/>
  <c r="H78" i="1"/>
  <c r="I78" i="1" s="1"/>
  <c r="H77" i="1"/>
  <c r="I77" i="1" s="1"/>
  <c r="H76" i="1"/>
  <c r="H75" i="1"/>
  <c r="H74" i="1"/>
  <c r="I74" i="1" s="1"/>
  <c r="H73" i="1"/>
  <c r="H72" i="1"/>
  <c r="H71" i="1"/>
  <c r="H70" i="1"/>
  <c r="H69" i="1"/>
  <c r="H68" i="1"/>
  <c r="H67" i="1"/>
  <c r="I67" i="1" s="1"/>
  <c r="H66" i="1"/>
  <c r="I66" i="1" s="1"/>
  <c r="H65" i="1"/>
  <c r="I65" i="1" s="1"/>
  <c r="H64" i="1"/>
  <c r="I64" i="1" s="1"/>
  <c r="H63" i="1"/>
  <c r="I63" i="1" s="1"/>
  <c r="H62" i="1"/>
  <c r="H61" i="1"/>
  <c r="H60" i="1"/>
  <c r="H59" i="1"/>
  <c r="H58" i="1"/>
  <c r="H57" i="1"/>
  <c r="H56" i="1"/>
  <c r="H55" i="1"/>
  <c r="H54" i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H44" i="1"/>
  <c r="H43" i="1"/>
  <c r="H42" i="1"/>
  <c r="H41" i="1"/>
  <c r="H40" i="1"/>
  <c r="H39" i="1"/>
  <c r="I39" i="1" s="1"/>
  <c r="H38" i="1"/>
  <c r="I38" i="1" s="1"/>
  <c r="H37" i="1"/>
  <c r="I37" i="1" s="1"/>
  <c r="H36" i="1"/>
  <c r="I36" i="1" s="1"/>
  <c r="H35" i="1"/>
  <c r="I35" i="1" s="1"/>
  <c r="H34" i="1"/>
  <c r="H33" i="1"/>
  <c r="H32" i="1"/>
  <c r="H31" i="1"/>
  <c r="H30" i="1"/>
  <c r="H29" i="1"/>
  <c r="H28" i="1"/>
  <c r="H27" i="1"/>
  <c r="H26" i="1"/>
  <c r="H25" i="1"/>
  <c r="I25" i="1" s="1"/>
  <c r="H24" i="1"/>
  <c r="I24" i="1" s="1"/>
  <c r="H23" i="1"/>
  <c r="I23" i="1" s="1"/>
  <c r="H22" i="1"/>
  <c r="I22" i="1" s="1"/>
  <c r="H21" i="1"/>
  <c r="I21" i="1" s="1"/>
  <c r="H20" i="1"/>
  <c r="H19" i="1"/>
  <c r="H18" i="1"/>
  <c r="H17" i="1"/>
  <c r="H16" i="1"/>
  <c r="H15" i="1"/>
  <c r="H14" i="1"/>
  <c r="H13" i="1"/>
  <c r="H12" i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H4" i="1"/>
  <c r="H3" i="1"/>
  <c r="I3" i="1" s="1"/>
  <c r="H2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59" i="1" l="1"/>
  <c r="J87" i="1"/>
  <c r="J101" i="1"/>
  <c r="J129" i="1"/>
  <c r="J143" i="1"/>
  <c r="J157" i="1"/>
  <c r="J171" i="1"/>
  <c r="J185" i="1"/>
  <c r="J199" i="1"/>
  <c r="I17" i="1"/>
  <c r="J17" i="1" s="1"/>
  <c r="J61" i="1"/>
  <c r="J103" i="1"/>
  <c r="J145" i="1"/>
  <c r="J173" i="1"/>
  <c r="J187" i="1"/>
  <c r="J215" i="1"/>
  <c r="J229" i="1"/>
  <c r="I19" i="1"/>
  <c r="J19" i="1" s="1"/>
  <c r="I129" i="1"/>
  <c r="I87" i="1"/>
  <c r="I227" i="1"/>
  <c r="J227" i="1" s="1"/>
  <c r="J50" i="1"/>
  <c r="I4" i="1"/>
  <c r="J4" i="1" s="1"/>
  <c r="I229" i="1"/>
  <c r="J52" i="1"/>
  <c r="J78" i="1"/>
  <c r="I73" i="1"/>
  <c r="J73" i="1" s="1"/>
  <c r="J7" i="1"/>
  <c r="J53" i="1"/>
  <c r="J79" i="1"/>
  <c r="J105" i="1"/>
  <c r="J151" i="1"/>
  <c r="J177" i="1"/>
  <c r="J3" i="1"/>
  <c r="J88" i="1"/>
  <c r="J172" i="1"/>
  <c r="J89" i="1"/>
  <c r="J159" i="1"/>
  <c r="J34" i="1"/>
  <c r="J76" i="1"/>
  <c r="J132" i="1"/>
  <c r="I188" i="1"/>
  <c r="J188" i="1" s="1"/>
  <c r="I88" i="1"/>
  <c r="J148" i="1"/>
  <c r="I90" i="1"/>
  <c r="J90" i="1" s="1"/>
  <c r="I157" i="1"/>
  <c r="J51" i="1"/>
  <c r="J77" i="1"/>
  <c r="I5" i="1"/>
  <c r="J5" i="1" s="1"/>
  <c r="I115" i="1"/>
  <c r="J115" i="1" s="1"/>
  <c r="I31" i="1"/>
  <c r="J31" i="1" s="1"/>
  <c r="I117" i="1"/>
  <c r="J117" i="1" s="1"/>
  <c r="I185" i="1"/>
  <c r="J8" i="1"/>
  <c r="J80" i="1"/>
  <c r="J203" i="1"/>
  <c r="J60" i="1"/>
  <c r="J102" i="1"/>
  <c r="J144" i="1"/>
  <c r="J228" i="1"/>
  <c r="J33" i="1"/>
  <c r="J75" i="1"/>
  <c r="J6" i="1"/>
  <c r="J48" i="1"/>
  <c r="J104" i="1"/>
  <c r="J160" i="1"/>
  <c r="I230" i="1"/>
  <c r="J230" i="1" s="1"/>
  <c r="I173" i="1"/>
  <c r="J147" i="1"/>
  <c r="J150" i="1"/>
  <c r="J106" i="1"/>
  <c r="I32" i="1"/>
  <c r="J32" i="1" s="1"/>
  <c r="I75" i="1"/>
  <c r="I186" i="1"/>
  <c r="J186" i="1" s="1"/>
  <c r="J9" i="1"/>
  <c r="J35" i="1"/>
  <c r="J81" i="1"/>
  <c r="J107" i="1"/>
  <c r="J133" i="1"/>
  <c r="J179" i="1"/>
  <c r="J204" i="1"/>
  <c r="J46" i="1"/>
  <c r="J74" i="1"/>
  <c r="J116" i="1"/>
  <c r="J158" i="1"/>
  <c r="J214" i="1"/>
  <c r="I18" i="1"/>
  <c r="J18" i="1" s="1"/>
  <c r="I171" i="1"/>
  <c r="J47" i="1"/>
  <c r="J201" i="1"/>
  <c r="J20" i="1"/>
  <c r="J62" i="1"/>
  <c r="J118" i="1"/>
  <c r="J146" i="1"/>
  <c r="I174" i="1"/>
  <c r="J174" i="1" s="1"/>
  <c r="I202" i="1"/>
  <c r="J202" i="1" s="1"/>
  <c r="I216" i="1"/>
  <c r="J216" i="1" s="1"/>
  <c r="I20" i="1"/>
  <c r="I130" i="1"/>
  <c r="J130" i="1" s="1"/>
  <c r="I199" i="1"/>
  <c r="I45" i="1"/>
  <c r="J45" i="1" s="1"/>
  <c r="I131" i="1"/>
  <c r="J131" i="1" s="1"/>
  <c r="I200" i="1"/>
  <c r="J200" i="1" s="1"/>
  <c r="J49" i="1"/>
  <c r="J175" i="1"/>
  <c r="J176" i="1"/>
  <c r="J178" i="1"/>
  <c r="I33" i="1"/>
  <c r="I76" i="1"/>
  <c r="I143" i="1"/>
  <c r="I187" i="1"/>
  <c r="I213" i="1"/>
  <c r="J213" i="1" s="1"/>
  <c r="J10" i="1"/>
  <c r="J36" i="1"/>
  <c r="J108" i="1"/>
  <c r="J134" i="1"/>
  <c r="J205" i="1"/>
</calcChain>
</file>

<file path=xl/sharedStrings.xml><?xml version="1.0" encoding="utf-8"?>
<sst xmlns="http://schemas.openxmlformats.org/spreadsheetml/2006/main" count="1443" uniqueCount="1026">
  <si>
    <t>SND #</t>
  </si>
  <si>
    <t>BRAND</t>
  </si>
  <si>
    <t>PRODUCT</t>
  </si>
  <si>
    <t>SIZE</t>
  </si>
  <si>
    <t>UPC</t>
  </si>
  <si>
    <t>Image Address Primary</t>
  </si>
  <si>
    <t xml:space="preserve">Image 2 </t>
  </si>
  <si>
    <t>Image 3</t>
  </si>
  <si>
    <t>Image 4</t>
  </si>
  <si>
    <t>A.VOGEL</t>
  </si>
  <si>
    <t>SEA SALT HERBED</t>
  </si>
  <si>
    <t>4.4OZ</t>
  </si>
  <si>
    <t>021718412787</t>
  </si>
  <si>
    <t>https://shop.avogel.ca/cdn/shop/products/herbamare-original-organic-herbed-sea-salt-615604_5000x.jpg?v=1658433320</t>
  </si>
  <si>
    <t>https://shop.avogel.ca/cdn/shop/products/herbamare-original-organic-herbed-sea-salt-615604_5000x.jpg?v=1658433321</t>
  </si>
  <si>
    <t>https://shop.avogel.ca/cdn/shop/products/herbamare-original-organic-herbed-sea-salt-615604_5000x.jpg?v=1658433322</t>
  </si>
  <si>
    <t>https://shop.avogel.ca/cdn/shop/products/herbamare-original-organic-herbed-sea-salt-615604_5000x.jpg?v=1658433323</t>
  </si>
  <si>
    <t>8.8OZ</t>
  </si>
  <si>
    <t>021718412169</t>
  </si>
  <si>
    <t>https://shop.avogel.ca/cdn/shop/products/herbamare-original-organic-herbed-sea-salt-254615_5000x.jpg?v=1652345004</t>
  </si>
  <si>
    <t>https://shop.avogel.ca/cdn/shop/products/herbamare-original-organic-herbed-sea-salt-254615_5000x.jpg?v=1652345005</t>
  </si>
  <si>
    <t>https://shop.avogel.ca/cdn/shop/products/herbamare-original-organic-herbed-sea-salt-254615_5000x.jpg?v=1652345006</t>
  </si>
  <si>
    <t>https://shop.avogel.ca/cdn/shop/products/herbamare-original-organic-herbed-sea-salt-254615_5000x.jpg?v=1652345007</t>
  </si>
  <si>
    <t>SPICY SEA SALT</t>
  </si>
  <si>
    <t>364031412295</t>
  </si>
  <si>
    <t>https://shop.avogel.ca/cdn/shop/files/avogel-herbamare-spicy-organic-herbed-sea-salt-705708_5000x.jpg?v=1749638674</t>
  </si>
  <si>
    <t>https://shop.avogel.ca/cdn/shop/products/avogel-herbamare-spicy-organic-herbed-sea-salt-391889_5000x.jpg?v=1749561689</t>
  </si>
  <si>
    <t>https://shop.avogel.ca/cdn/shop/products/avogel-herbamare-spicy-organic-herbed-sea-salt-438796_5000x.jpg?v=1749561689</t>
  </si>
  <si>
    <t>ABSOLUTE NUTRITION</t>
  </si>
  <si>
    <t>BERBERINE</t>
  </si>
  <si>
    <t>60CT</t>
  </si>
  <si>
    <t>708235090260</t>
  </si>
  <si>
    <t>https://absnutrition.com/cdn/shop/files/3DCapsulesBottle-Berberine_grande.jpg?v=1703882401</t>
  </si>
  <si>
    <t>https://absnutrition.com/cdn/shop/files/AbsNut-NewLabelCapsules-Berberine2_grande.jpg?v=1703882401</t>
  </si>
  <si>
    <t>COLLAGEN COMPLEX</t>
  </si>
  <si>
    <t>708235090185</t>
  </si>
  <si>
    <t>https://absnutrition.com/cdn/shop/files/3DCapsulesBottle-Collagen_grande.jpg?v=1703883074</t>
  </si>
  <si>
    <t>https://absnutrition.com/cdn/shop/files/AbsNut-NewLabelCapsules-Collagen_grande.jpg?v=1703883074</t>
  </si>
  <si>
    <t>DEER ANTLER VELVET</t>
  </si>
  <si>
    <t>2OZ</t>
  </si>
  <si>
    <t>708235089349</t>
  </si>
  <si>
    <t>GREEN COFFEE BEAN EXTRACT</t>
  </si>
  <si>
    <t>60CP</t>
  </si>
  <si>
    <t>708235089240</t>
  </si>
  <si>
    <t>https://absnutrition.com/cdn/shop/products/DSC_0219_grande.jpg?v=1537468119</t>
  </si>
  <si>
    <t>https://absnutrition.com/cdn/shop/products/GCBE_Label_1_grande.jpg?v=1570029273</t>
  </si>
  <si>
    <t>https://absnutrition.com/cdn/shop/products/green2_grande.png?v=1537468119</t>
  </si>
  <si>
    <t>MAGNESIUM COMPLEX</t>
  </si>
  <si>
    <t>708235090208</t>
  </si>
  <si>
    <t>https://cloudinary.images-iherb.com/image/upload/f_auto,q_auto:eco/images/abn/abn09020/l/8.jpg</t>
  </si>
  <si>
    <t>https://cloudinary.images-iherb.com/image/upload/f_auto,q_auto:eco/images/abn/abn09020/l/13.jpg</t>
  </si>
  <si>
    <t>THYROX T3</t>
  </si>
  <si>
    <t>180CP</t>
  </si>
  <si>
    <t>708235088571</t>
  </si>
  <si>
    <t>https://cloudinary.images-iherb.com/image/upload/f_auto,q_auto:eco/images/abn/abn08857/v/55.jpg</t>
  </si>
  <si>
    <t>https://cloudinary.images-iherb.com/image/upload/f_auto,q_auto:eco/images/abn/abn08857/l/54.jpg</t>
  </si>
  <si>
    <t>WATERSHED</t>
  </si>
  <si>
    <t>60TAB</t>
  </si>
  <si>
    <t>708235088472</t>
  </si>
  <si>
    <t>https://cloudinary.images-iherb.com/image/upload/f_auto,q_auto:eco/images/abn/abn08847/l/60.jpg</t>
  </si>
  <si>
    <t>https://cloudinary.images-iherb.com/image/upload/f_auto,q_auto:eco/images/abn/abn08847/l/52.jpg</t>
  </si>
  <si>
    <t>https://cloudinary.images-iherb.com/image/upload/f_auto,q_auto:eco/images/abn/abn08847/l/63.jpg</t>
  </si>
  <si>
    <t>ALBA</t>
  </si>
  <si>
    <t>ACNE DEEP PORE WASH</t>
  </si>
  <si>
    <t>6OZ</t>
  </si>
  <si>
    <t>724742007607</t>
  </si>
  <si>
    <t>https://s38167.pcdn.co/wp-content/uploads/2019/11/Acnedote-Deep-Pore-Wash-front.png</t>
  </si>
  <si>
    <t>https://s38167.pcdn.co/wp-content/uploads/2019/11/Acnedote-Deep-Pore-Wash-back.png</t>
  </si>
  <si>
    <t>https://s38167.pcdn.co/wp-content/uploads/2019/11/Acnedote-Deep-Pore-Wash-before-after.png</t>
  </si>
  <si>
    <t>ACNE FACE &amp; BODY SCRUB</t>
  </si>
  <si>
    <t>8OZ</t>
  </si>
  <si>
    <t>724742007614</t>
  </si>
  <si>
    <t>https://s38167.pcdn.co/wp-content/uploads/2019/11/Homepage-left-1-1.png</t>
  </si>
  <si>
    <t>https://s38167.pcdn.co/wp-content/uploads/2019/11/face-and-body-scurb-back.jpg</t>
  </si>
  <si>
    <t>https://s38167.pcdn.co/wp-content/uploads/2019/11/face-and-body-scurb-before-and-after.jpg</t>
  </si>
  <si>
    <t>ACNEDOTE PIMPLE PATCHES</t>
  </si>
  <si>
    <t>40PK</t>
  </si>
  <si>
    <t>724742007591</t>
  </si>
  <si>
    <t>https://s38167.pcdn.co/wp-content/uploads/2020/11/Acnedote_PimplePatches_Front_759_40ct.png</t>
  </si>
  <si>
    <t>https://s38167.pcdn.co/wp-content/uploads/2020/11/Acnedote_PimplePatches_Back_759_40ct.png</t>
  </si>
  <si>
    <t>HAWA ALOE&amp;GTEA OIL/F MST</t>
  </si>
  <si>
    <t>3OZ</t>
  </si>
  <si>
    <t>724742008123</t>
  </si>
  <si>
    <t>https://s38167.pcdn.co/wp-content/uploads/2019/11/daily-oil-free-front.png</t>
  </si>
  <si>
    <t>https://s38167.pcdn.co/wp-content/uploads/2019/11/Alba-Botanica-Daily-Oil-free-Hydrating-Moisturizer-back.jpg</t>
  </si>
  <si>
    <t>https://s38167.pcdn.co/wp-content/uploads/2019/11/Alba-Botanica-Daily-Oil-free-Hydrating-Moisturizer-before-after.jpg</t>
  </si>
  <si>
    <t>HAWA BODY CREAM KUKUI NUT</t>
  </si>
  <si>
    <t>6.5OZ</t>
  </si>
  <si>
    <t>724742008246</t>
  </si>
  <si>
    <t>https://s38167.pcdn.co/wp-content/uploads/2019/11/Intense-Hydration-Body-Oil-front-1.png</t>
  </si>
  <si>
    <t>https://s38167.pcdn.co/wp-content/uploads/2019/11/Intense-Hydration-Whipped-Body-Butter-back.jpg</t>
  </si>
  <si>
    <t>https://s38167.pcdn.co/wp-content/uploads/2019/11/Intense-Hydration-Whipped-Body-Butter-before-after.jpg</t>
  </si>
  <si>
    <t>HAWA CREAM JASMINE&amp;VITE</t>
  </si>
  <si>
    <t>724742008147</t>
  </si>
  <si>
    <t>https://s38167.pcdn.co/wp-content/uploads/2019/11/Alba-Botanica-Ultra-Hydrating-Moisturizing-Cream__-front.png</t>
  </si>
  <si>
    <t>https://s38167.pcdn.co/wp-content/uploads/2019/11/Alba-Botanica-Ultra-Hydrating-Moisturizing-Cream__-back.png</t>
  </si>
  <si>
    <t>https://s38167.pcdn.co/wp-content/uploads/2019/11/Alba-Botanica-Ultra-Hydrating-Moisturizing-Cream-before-after-1.png</t>
  </si>
  <si>
    <t>HAWA FACE CLEANSE PNEAPLE</t>
  </si>
  <si>
    <t>724742008024</t>
  </si>
  <si>
    <t>https://s38167.pcdn.co/wp-content/uploads/2019/11/Exfoliating-Facial-Cleanser-front.png</t>
  </si>
  <si>
    <t>https://s38167.pcdn.co/wp-content/uploads/2019/11/Exfoliating-Facial-Cleanser-back.png</t>
  </si>
  <si>
    <t>https://s38167.pcdn.co/wp-content/uploads/2019/11/Exfoliating-Facial-Cleanser-before-after.jpg</t>
  </si>
  <si>
    <t>HAWA LEAVE-IN COND CCNT M</t>
  </si>
  <si>
    <t>724742008499</t>
  </si>
  <si>
    <t>https://s38167.pcdn.co/wp-content/uploads/2020/11/MoreMoistureConditioningMist_CoconutMilk_Front_449_8oz.png</t>
  </si>
  <si>
    <t>HAWA MASSAGE OIL KUKUI NT</t>
  </si>
  <si>
    <t>8.5OZ</t>
  </si>
  <si>
    <t>724742008345</t>
  </si>
  <si>
    <t>https://s38167.pcdn.co/wp-content/uploads/2019/11/Intense-body-oil-front.png</t>
  </si>
  <si>
    <t>https://s38167.pcdn.co/wp-content/uploads/2019/11/Intense-Hydration-Body-Oil-back.jpg</t>
  </si>
  <si>
    <t>https://s38167.pcdn.co/wp-content/uploads/2019/11/Intense-Hydration-Body-Oil-before-after.png</t>
  </si>
  <si>
    <t>HAWA SEA SALT BODY SCRUB</t>
  </si>
  <si>
    <t>14.5OZ</t>
  </si>
  <si>
    <t>724742008185</t>
  </si>
  <si>
    <t>https://www.vitacost.com/Images/Products/500/Alba/Alba-Botanica-Hawaiian-Body-Scrub-Sea-Salt-724742008185.jpg</t>
  </si>
  <si>
    <t>HAWA SHAMP MANGO</t>
  </si>
  <si>
    <t>12OZ</t>
  </si>
  <si>
    <t>724742008512</t>
  </si>
  <si>
    <t>https://s38167.pcdn.co/wp-content/uploads/2020/01/MangShampoo32_AL00858_TN1_1000.png</t>
  </si>
  <si>
    <t>https://s38167.pcdn.co/wp-content/uploads/2020/01/MangShampoo32_AL00858_TN2_1000.png</t>
  </si>
  <si>
    <t>HAWA SUN ALOE VERA LOTION</t>
  </si>
  <si>
    <t>724742012366</t>
  </si>
  <si>
    <t>https://cloudinary.images-iherb.com/image/upload/f_auto,q_auto:eco/images/alb/alb01236/v/8.jpg</t>
  </si>
  <si>
    <t>https://cloudinary.images-iherb.com/image/upload/f_auto,q_auto:eco/images/alb/alb01236/l/12.jpg</t>
  </si>
  <si>
    <t>HAWA SUN COCONUT SPRAY 15</t>
  </si>
  <si>
    <t>5OZ</t>
  </si>
  <si>
    <t>724742012380</t>
  </si>
  <si>
    <t>https://sndonline.com/image/cache/data/products/247238-500x500.jpg</t>
  </si>
  <si>
    <t>https://sndonline.com/image/cache/data/additional_product_images/247238-1-500x500.gif</t>
  </si>
  <si>
    <t>HAWA SUN COCONUT SPRAY 30</t>
  </si>
  <si>
    <t>724742012397</t>
  </si>
  <si>
    <t>https://s38167.pcdn.co/wp-content/uploads/2023/02/HawClear_SPF30_Spray_Front_Render.png</t>
  </si>
  <si>
    <t>https://s38167.pcdn.co/wp-content/uploads/2023/02/HawClear_SPF30_Spray_Back_Render-1.png</t>
  </si>
  <si>
    <t>HAWA SUN COCONUT SPRAY 50</t>
  </si>
  <si>
    <t>724742008437</t>
  </si>
  <si>
    <t>https://s38167.pcdn.co/wp-content/uploads/2023/02/Alba_HawClear_SPF50_Spray_Front_Render.png</t>
  </si>
  <si>
    <t>https://s38167.pcdn.co/wp-content/uploads/2023/02/Alba_HawClear_SPF50_Spray_Back_Render.png</t>
  </si>
  <si>
    <t>HAWA SUN FACE LOTION 50</t>
  </si>
  <si>
    <t>724742005030</t>
  </si>
  <si>
    <t>https://s38167.pcdn.co/wp-content/uploads/2023/02/Alba-Botanica-Hawaiian-Island-Vibe-SPF50-Sunscreen-Lotion-3oz-Front-Render.png</t>
  </si>
  <si>
    <t>https://s38167.pcdn.co/wp-content/uploads/2023/02/Alba-Botanica-Hawaiian-Island-Vibe-SPF50-Sunscreen-Lotion-3oz-Back-Render.png</t>
  </si>
  <si>
    <t>HAWA SUN FACE LTN 30 F/F</t>
  </si>
  <si>
    <t>724742012373</t>
  </si>
  <si>
    <t>https://s38167.pcdn.co/wp-content/uploads/2023/02/AL01062_SheerMineral_Lotion_FF_SPF30_Front_Render.png</t>
  </si>
  <si>
    <t>https://s38167.pcdn.co/wp-content/uploads/2023/02/AL01062_SheerMineral_Lotion_FF_SPF30_Back_Render.png</t>
  </si>
  <si>
    <t>HAWA SUN LOTION 30</t>
  </si>
  <si>
    <t>724742008253</t>
  </si>
  <si>
    <t>https://s38167.pcdn.co/wp-content/uploads/2023/02/Alba-Botanica-Hawaiian-Aloe-Vera-SPF30-Sunscreen-Lotion-3oz-Front-Render.png</t>
  </si>
  <si>
    <t>https://s38167.pcdn.co/wp-content/uploads/2023/02/Alba-Botanica-Hawaiian-Aloe-Vera-SPF30-Sunscreen-Lotion-3oz-Back-Render.png</t>
  </si>
  <si>
    <t>HAWA SUN LOTION ISLAND 50</t>
  </si>
  <si>
    <t>724742008277</t>
  </si>
  <si>
    <t>HAWA SUN SPRAY 70 F/F</t>
  </si>
  <si>
    <t>724742004392</t>
  </si>
  <si>
    <t>https://s38167.pcdn.co/wp-content/uploads/2023/02/Alba_HawClear_SPF70_Spray_Front_Render.png</t>
  </si>
  <si>
    <t>https://s38167.pcdn.co/wp-content/uploads/2023/02/Alba_HawClear_SPF70_Spray_Back_Render.png</t>
  </si>
  <si>
    <t>LOTION COCONUT</t>
  </si>
  <si>
    <t>32OZ</t>
  </si>
  <si>
    <t>724742003647</t>
  </si>
  <si>
    <t>https://s38167.pcdn.co/wp-content/uploads/2019/11/daily-moisturizing-lotion-dry-to-very-dry-skin-1.png</t>
  </si>
  <si>
    <t>https://s38167.pcdn.co/wp-content/uploads/2019/11/daily-moisturizing-lotion-dry-to-very-dry-skin-back.png</t>
  </si>
  <si>
    <t>https://s38167.pcdn.co/wp-content/uploads/2019/11/AL00364_VEBL-Coconut-Rescue-Lotion_32oz_Before-After.jpg</t>
  </si>
  <si>
    <t>LOTION DRY SKIN</t>
  </si>
  <si>
    <t>32 OZ</t>
  </si>
  <si>
    <t>724742003708</t>
  </si>
  <si>
    <t>https://s38167.pcdn.co/wp-content/uploads/2019/11/daily-moisturizing-lotion-sensitive-skin.png</t>
  </si>
  <si>
    <t>https://s38167.pcdn.co/wp-content/uploads/2019/11/daily-moisturizing-lotion-sensitive-skin-back.png</t>
  </si>
  <si>
    <t>https://s38167.pcdn.co/wp-content/uploads/2019/11/AL00369_VEBL-Daily-Moisturizing_32oz_Before-After.jpg</t>
  </si>
  <si>
    <t>LOTION UNSCENTED</t>
  </si>
  <si>
    <t>724742003692</t>
  </si>
  <si>
    <t>SUN AFTER GEL ALOE</t>
  </si>
  <si>
    <t>724742004019</t>
  </si>
  <si>
    <t>https://s38167.pcdn.co/wp-content/uploads/2023/02/2022_AfterSunGel_4_UPDATE_2_Tube_Front_Render-1.png</t>
  </si>
  <si>
    <t>https://s38167.pcdn.co/wp-content/uploads/2023/02/2022_AfterSunGel_4_UPDATE_2_Tube_Back_Render-2.png</t>
  </si>
  <si>
    <t>SUN KIDS LOTION 50</t>
  </si>
  <si>
    <t>724742003999</t>
  </si>
  <si>
    <t>https://s38167.pcdn.co/wp-content/uploads/2023/02/Alba-Botanica-Kids-Tropical-Fruit-SPF50-Sunscreen-Spray-5oz-Front-Render.png</t>
  </si>
  <si>
    <t>https://s38167.pcdn.co/wp-content/uploads/2023/02/Alba-Botanica-Kids-Tropical-Fruit-SPF50-Sunscreen-Spray-5oz-Back-Render.png</t>
  </si>
  <si>
    <t>SUN SENSITIVE FF SPRAY 50</t>
  </si>
  <si>
    <t>724742003814</t>
  </si>
  <si>
    <t>https://s38167.pcdn.co/wp-content/uploads/2023/02/Alba_Sensitive_FF_SPF50_Spray_Front_Render-1.png</t>
  </si>
  <si>
    <t>https://s38167.pcdn.co/wp-content/uploads/2023/02/Alba_Sensitive_FF_SPF50_Spray_Back_Render-1.png</t>
  </si>
  <si>
    <t>SUN SHEER MINERAL BABY 50</t>
  </si>
  <si>
    <t>724742010171</t>
  </si>
  <si>
    <t>https://s38167.pcdn.co/wp-content/uploads/2019/11/baby-mineral-front.png</t>
  </si>
  <si>
    <t>https://s38167.pcdn.co/wp-content/uploads/2019/11/baby-mineral-back-1.png</t>
  </si>
  <si>
    <t>SUN SHEER MINERAL FACE 30</t>
  </si>
  <si>
    <t>724742010768</t>
  </si>
  <si>
    <t>https://s38167.pcdn.co/wp-content/uploads/2023/02/AL01076_SheerMineral_FF-FaceLotion_SPF30_2oz_New_Tube_Front_Render.png</t>
  </si>
  <si>
    <t>https://s38167.pcdn.co/wp-content/uploads/2023/02/AL01076_SheerMineral_FF-FaceLotion_SPF30_2oz_New_Tube_Back_Render.png</t>
  </si>
  <si>
    <t>SUN SHEER MINERAL FACE 50</t>
  </si>
  <si>
    <t>724742010522</t>
  </si>
  <si>
    <t>https://s38167.pcdn.co/wp-content/uploads/2023/02/SheerMineralFaceLotion_SPF50_2oz_New_Tube_Front_Render-2.png</t>
  </si>
  <si>
    <t>https://s38167.pcdn.co/wp-content/uploads/2023/02/SheerMineralFaceLotion_SPF50_2oz_New_Tube_Back_Render.png</t>
  </si>
  <si>
    <t>SUN SHEER MINERAL LOTIN30</t>
  </si>
  <si>
    <t>724742003890</t>
  </si>
  <si>
    <t>SUN SHEER MINERAL LOTIN50</t>
  </si>
  <si>
    <t>724742004002</t>
  </si>
  <si>
    <t>SUN SHEER MINERAL SPRAY30</t>
  </si>
  <si>
    <t>724742004040</t>
  </si>
  <si>
    <t>https://s38167.pcdn.co/wp-content/uploads/2023/02/Alba_SheerMineral_SPF30_Spray_Front_Render.png</t>
  </si>
  <si>
    <t>https://s38167.pcdn.co/wp-content/uploads/2023/02/Alba_SheerMineral_SPF30_Spray_Back_Render.png</t>
  </si>
  <si>
    <t>SUN SHEER MINERAL SPRAY50</t>
  </si>
  <si>
    <t>724742010775</t>
  </si>
  <si>
    <t>SUN SPORT LOTION 50</t>
  </si>
  <si>
    <t>724742003906</t>
  </si>
  <si>
    <t>https://www.nhc.com/site/NHC/img/sport-sunscreen-AB_main,1.jpg</t>
  </si>
  <si>
    <t>https://www.nhc.com/site/NHC/img/sport-sunscreen-AB_main,2.jpg</t>
  </si>
  <si>
    <t>SUN SPORT SPRAY FF 50</t>
  </si>
  <si>
    <t>724742003784</t>
  </si>
  <si>
    <t>https://s38167.pcdn.co/wp-content/uploads/2023/02/Alba_Sport_SPF50_Spray_Front_Render-1.png</t>
  </si>
  <si>
    <t>https://s38167.pcdn.co/wp-content/uploads/2023/02/Alba_Sport_SPF50_Spray_Back_Render-1.png</t>
  </si>
  <si>
    <t>SUN WHILE WET SPRAY 30</t>
  </si>
  <si>
    <t>724742010232</t>
  </si>
  <si>
    <t>https://m.media-amazon.com/images/I/61njkdr+ESL._US900_.jpg</t>
  </si>
  <si>
    <t>https://m.media-amazon.com/images/I/71eF6atV4bL._US900_.jpg</t>
  </si>
  <si>
    <t>SUNLESS TANNING LOTION</t>
  </si>
  <si>
    <t>4OZ</t>
  </si>
  <si>
    <t>724742003975</t>
  </si>
  <si>
    <t>https://s38167.pcdn.co/wp-content/uploads/2023/02/Sunless_Tanner_Front_Render-1.png</t>
  </si>
  <si>
    <t>https://s38167.pcdn.co/wp-content/uploads/2023/02/Sunless_Tanner_Back_Render-3.png</t>
  </si>
  <si>
    <t>ALL TERRAIN</t>
  </si>
  <si>
    <t>ALOE GEL SKIN RELIEF</t>
  </si>
  <si>
    <t>608503430074</t>
  </si>
  <si>
    <t>https://cloudinary.images-iherb.com/image/upload/f_auto,q_auto:eco/images/alt/alt43007/v/11.jpg</t>
  </si>
  <si>
    <t>https://cloudinary.images-iherb.com/image/upload/f_auto,q_auto:eco/images/alt/alt43007/l/15.jpg</t>
  </si>
  <si>
    <t>BANDAGE FABRIC ASSORTED</t>
  </si>
  <si>
    <t>30PK</t>
  </si>
  <si>
    <t>608503050036</t>
  </si>
  <si>
    <t>https://cloudinary.images-iherb.com/image/upload/f_auto,q_auto:eco/images/alt/alt05003/l/19.jpg</t>
  </si>
  <si>
    <t>https://cloudinary.images-iherb.com/image/upload/f_auto,q_auto:eco/images/alt/alt05003/l/23.jpg</t>
  </si>
  <si>
    <t>BANDAGE STR STRONG 1X3.25</t>
  </si>
  <si>
    <t>20PK</t>
  </si>
  <si>
    <t>608503050050</t>
  </si>
  <si>
    <t>https://cloudinary.images-iherb.com/image/upload/f_auto,q_auto:eco/images/alt/alt05005/v/11.jpg</t>
  </si>
  <si>
    <t>https://cloudinary.images-iherb.com/image/upload/f_auto,q_auto:eco/images/alt/alt05005/l/15.jpg</t>
  </si>
  <si>
    <t>BANDAGES KIDS ADV ASSORTD</t>
  </si>
  <si>
    <t>608503050012</t>
  </si>
  <si>
    <t>https://www.vitacost.com/Images/Products/500/All-Terrain/All-Terrain-Kids-Bandages-Latex-Free-Non-Stick-Pad-Tan-608503050012.jpg</t>
  </si>
  <si>
    <t>BANDAGES KIDS NEON</t>
  </si>
  <si>
    <t>608503050029</t>
  </si>
  <si>
    <t>https://www.vitacost.com/Images/Products/500/All-Terrain/All-Terrain-Kids-Bandages-Latex-Free-Non-Stick-Pad-Neon-608503050029.jpg</t>
  </si>
  <si>
    <t>BANDAGES SHEER 3/4 X 3</t>
  </si>
  <si>
    <t>608503050043</t>
  </si>
  <si>
    <t>https://cloudinary.images-iherb.com/image/upload/f_auto,q_auto:eco/images/alt/alt05004/l/8.jpg</t>
  </si>
  <si>
    <t>https://cloudinary.images-iherb.com/image/upload/f_auto,q_auto:eco/images/alt/alt05004/l/12.jpg</t>
  </si>
  <si>
    <t>BNDGE STRP STRNG WATERPRF</t>
  </si>
  <si>
    <t>608503050067</t>
  </si>
  <si>
    <t>https://cloudinary.images-iherb.com/image/upload/f_auto,q_auto:eco/images/alt/alt05006/v/11.jpg</t>
  </si>
  <si>
    <t>https://cloudinary.images-iherb.com/image/upload/f_auto,q_auto:eco/images/alt/alt05006/r/15.jpg</t>
  </si>
  <si>
    <t>DITCH THE ITCH BAR</t>
  </si>
  <si>
    <t>608503060028</t>
  </si>
  <si>
    <t>https://cloudinary.images-iherb.com/image/upload/f_auto,q_auto:eco/images/alt/alt06002/v/15.jpg</t>
  </si>
  <si>
    <t>https://cloudinary.images-iherb.com/image/upload/f_auto,q_auto:eco/images/alt/alt06002/l/17.jpg</t>
  </si>
  <si>
    <t>https://cloudinary.images-iherb.com/image/upload/f_auto,q_auto:eco/images/alt/alt06002/l/18.jpg</t>
  </si>
  <si>
    <t>DITCH THE ITCH CREAM</t>
  </si>
  <si>
    <t>608503050425</t>
  </si>
  <si>
    <t>https://cloudinary.images-iherb.com/image/upload/f_auto,q_auto:eco/images/alt/alt05042/v/37.jpg</t>
  </si>
  <si>
    <t>https://cloudinary.images-iherb.com/image/upload/f_auto,q_auto:eco/images/alt/alt05042/l/35.jpg</t>
  </si>
  <si>
    <t>https://cloudinary.images-iherb.com/image/upload/f_auto,q_auto:eco/images/alt/alt05042/l/36.jpg</t>
  </si>
  <si>
    <t>ECZEMA KIDS SOAP</t>
  </si>
  <si>
    <t>608503052443</t>
  </si>
  <si>
    <t>https://allterrainco.com/cdn/shop/products/6-08503-05244-3_KidsEczemaSoap_1_1200x.jpg?v=1622754865</t>
  </si>
  <si>
    <t>https://allterrainco.com/cdn/shop/products/6-08503-05244-3_KidsEczemaSoap_3_1200x.jpg?v=1622754865</t>
  </si>
  <si>
    <t>ECZEMA SOOTHING SOAP</t>
  </si>
  <si>
    <t>608503052542</t>
  </si>
  <si>
    <t>https://allterrainco.com/cdn/shop/products/6-08503-05254-2_EczemaSoothingSoap4oz_01_1200x.jpg?v=1622754762</t>
  </si>
  <si>
    <t>https://allterrainco.com/cdn/shop/products/6-08503-05254-2_EczemaSoothingSoap4oz_03_1200x.jpg?v=1622754762</t>
  </si>
  <si>
    <t>GAUZE PADS 2" X 2"</t>
  </si>
  <si>
    <t>10CT</t>
  </si>
  <si>
    <t>608503050074</t>
  </si>
  <si>
    <t>https://allterrainco.com/cdn/shop/products/6-08503-05007-4_GauzePads_10ct_1200x.jpg?v=1622762957</t>
  </si>
  <si>
    <t>HERBAL ARMOR INSECT SPRAY</t>
  </si>
  <si>
    <t>608503010139</t>
  </si>
  <si>
    <t>https://cloudinary.images-iherb.com/image/upload/f_auto,q_auto:eco/images/alt/alt01013/v/22.jpg</t>
  </si>
  <si>
    <t>https://cloudinary.images-iherb.com/image/upload/f_auto,q_auto:eco/images/alt/alt01013/l/30.jpg</t>
  </si>
  <si>
    <t>608503010337</t>
  </si>
  <si>
    <t>https://vitaminlife.com/cdn/shop/files/70442-1-large.jpg?v=1738473992&amp;width=2000</t>
  </si>
  <si>
    <t>https://vitaminlife.com/cdn/shop/files/70442-FACTS-large.jpg?v=1738473992&amp;width=5000</t>
  </si>
  <si>
    <t>608503010030</t>
  </si>
  <si>
    <t>https://cloudinary.images-iherb.com/image/upload/f_auto,q_auto:eco/images/alt/alt01003/v/34.jpg</t>
  </si>
  <si>
    <t>https://cloudinary.images-iherb.com/image/upload/f_auto,q_auto:eco/images/alt/alt01003/r/38.jpg</t>
  </si>
  <si>
    <t>608503010085</t>
  </si>
  <si>
    <t>https://cloudinary.images-iherb.com/image/upload/f_auto,q_auto:eco/images/alt/alt01008/v/13.jpg</t>
  </si>
  <si>
    <t>https://cloudinary.images-iherb.com/image/upload/f_auto,q_auto:eco/images/alt/alt01008/l/17.jpg</t>
  </si>
  <si>
    <t>KIDS HERBAL INSECT SPRAY</t>
  </si>
  <si>
    <t>608503010344</t>
  </si>
  <si>
    <t>https://allterrainco.com/cdn/shop/files/image002_1200x.jpg?v=1738681234</t>
  </si>
  <si>
    <t>https://allterrainco.com/cdn/shop/files/image006_1200x.jpg?v=1738681273</t>
  </si>
  <si>
    <t>KIDS HERBL ARMOR INSECT</t>
  </si>
  <si>
    <t>608503010092</t>
  </si>
  <si>
    <t>https://cloudinary.images-iherb.com/image/upload/f_auto,q_auto:eco/images/alt/alt01009/v/20.jpg</t>
  </si>
  <si>
    <t>https://cloudinary.images-iherb.com/image/upload/f_auto,q_auto:eco/images/alt/alt01009/l/24.jpg</t>
  </si>
  <si>
    <t>KIDS HERBL ARMOR INSECT S</t>
  </si>
  <si>
    <t>608503010047</t>
  </si>
  <si>
    <t>https://cloudinary.images-iherb.com/image/upload/f_auto,q_auto:eco/images/alt/alt01004/v/18.jpg</t>
  </si>
  <si>
    <t>https://cloudinary.images-iherb.com/image/upload/f_auto,q_auto:eco/images/alt/alt01004/l/22.jpg</t>
  </si>
  <si>
    <t>POISON IVY/OAK BAR SP</t>
  </si>
  <si>
    <t>608503050715</t>
  </si>
  <si>
    <t>https://allterrainco.com/cdn/shop/products/6-08503-05071-5_PoisonIvyOakBar4oz_01_1200x.jpg?v=1622755125</t>
  </si>
  <si>
    <t>https://allterrainco.com/cdn/shop/products/6-08503-05071-5_PoisonIvyOakBar4oz_03_1200x.jpg?v=1622755125</t>
  </si>
  <si>
    <t>RECOVERY RUB</t>
  </si>
  <si>
    <t>608503040235</t>
  </si>
  <si>
    <t>https://cloudinary.images-iherb.com/image/upload/f_auto,q_auto:eco/images/alt/alt04023/l/15.jpg</t>
  </si>
  <si>
    <t>https://cloudinary.images-iherb.com/image/upload/f_auto,q_auto:eco/images/alt/alt04023/l/19.jpg</t>
  </si>
  <si>
    <t>ROLLED GAUZE 3" 2.5 YDS</t>
  </si>
  <si>
    <t>EA</t>
  </si>
  <si>
    <t>608503050081</t>
  </si>
  <si>
    <t>https://allterrainco.com/cdn/shop/products/6-08503-05008-1_RolledGauze_1200x.jpg?v=1622763118</t>
  </si>
  <si>
    <t>SELF-STICK TAPE 2" 5 YDS</t>
  </si>
  <si>
    <t>608503050098</t>
  </si>
  <si>
    <t>https://cloudinary.images-iherb.com/image/upload/f_auto,q_auto:eco/images/alt/alt05009/v/6.jpg</t>
  </si>
  <si>
    <t>https://cloudinary.images-iherb.com/image/upload/f_auto,q_auto:eco/images/alt/alt05009/l/7.jpg</t>
  </si>
  <si>
    <t>https://cloudinary.images-iherb.com/image/upload/f_auto,q_auto:eco/images/alt/alt05009/r/8.jpg</t>
  </si>
  <si>
    <t>ALMASED</t>
  </si>
  <si>
    <t>ALMASED SYNERGY DIET</t>
  </si>
  <si>
    <t>17.6OZ</t>
  </si>
  <si>
    <t>688449258727</t>
  </si>
  <si>
    <t>https://www.vitacost.com/Images/Products/500/Almased/Almased-Dietary-Supplement-for-Weight-Management-688449258727.jpg</t>
  </si>
  <si>
    <t>SYNERGY DIET ALMOND/VAN</t>
  </si>
  <si>
    <t>688449258772</t>
  </si>
  <si>
    <t>https://www.vitacost.com/Images/Products/500/Almased/Almased-Dietary-Supplement-for-Weight-Management-Almond-Vanilla-688449258772.jpg</t>
  </si>
  <si>
    <t>AMAZING HERBS</t>
  </si>
  <si>
    <t>BLACK SEED FENUZYME BRONC</t>
  </si>
  <si>
    <t>665231220605</t>
  </si>
  <si>
    <t>https://cloudinary.images-iherb.com/image/upload/f_auto,q_auto:eco/images/ahr/ahr22060/v/8.jpg</t>
  </si>
  <si>
    <t>https://cloudinary.images-iherb.com/image/upload/f_auto,q_auto:eco/images/ahr/ahr22060/r/14.jpg</t>
  </si>
  <si>
    <t>BLACK SEED GARLIC</t>
  </si>
  <si>
    <t>100VC</t>
  </si>
  <si>
    <t>665231061000</t>
  </si>
  <si>
    <t>https://cloudinary.images-iherb.com/image/upload/f_auto,q_auto:eco/images/ahr/ahr06100/v/8.jpg</t>
  </si>
  <si>
    <t>https://cloudinary.images-iherb.com/image/upload/f_auto,q_auto:eco/images/ahr/ahr06100/l/11.jpg</t>
  </si>
  <si>
    <t>BLACK SEED GLDNSL&amp;ECHINAC</t>
  </si>
  <si>
    <t>665231081008</t>
  </si>
  <si>
    <t>https://cloudinary.images-iherb.com/image/upload/f_auto,q_auto:eco/images/ahr/ahr08100/v/8.jpg</t>
  </si>
  <si>
    <t>https://cloudinary.images-iherb.com/image/upload/f_auto,q_auto:eco/images/ahr/ahr08100/l/14.jpg</t>
  </si>
  <si>
    <t>BLACK SEED GLYMORDICA</t>
  </si>
  <si>
    <t>665231091007</t>
  </si>
  <si>
    <t>https://cloudinary.images-iherb.com/image/upload/f_auto,q_auto:eco/images/ahr/ahr09100/v/8.jpg</t>
  </si>
  <si>
    <t>https://cloudinary.images-iherb.com/image/upload/f_auto,q_auto:eco/images/ahr/ahr09100/l/10.jpg</t>
  </si>
  <si>
    <t>BLACK SEED GROUND SEED</t>
  </si>
  <si>
    <t>665231862041</t>
  </si>
  <si>
    <t>https://cloudinary.images-iherb.com/image/upload/f_auto,q_auto:eco/images/ahr/ahr86204/v/8.jpg</t>
  </si>
  <si>
    <t>https://cloudinary.images-iherb.com/image/upload/f_auto,q_auto:eco/images/ahr/ahr86204/l/10.jpg</t>
  </si>
  <si>
    <t>BLACK SEED GUMMIES</t>
  </si>
  <si>
    <t>60GU</t>
  </si>
  <si>
    <t>665231941609</t>
  </si>
  <si>
    <t>BLACK SEED OIL</t>
  </si>
  <si>
    <t>16OZ</t>
  </si>
  <si>
    <t>665231120165</t>
  </si>
  <si>
    <t>1OZ</t>
  </si>
  <si>
    <t>665231120011</t>
  </si>
  <si>
    <t>https://cloudinary.images-iherb.com/image/upload/f_auto,q_auto:eco/images/ahr/ahr12001/v/18.jpg</t>
  </si>
  <si>
    <t>https://cloudinary.images-iherb.com/image/upload/f_auto,q_auto:eco/images/ahr/ahr12001/l/17.jpg</t>
  </si>
  <si>
    <t>665231120042</t>
  </si>
  <si>
    <t>https://cloudinary.images-iherb.com/image/upload/f_auto,q_auto:eco/images/ahr/ahr12004/v/70.jpg</t>
  </si>
  <si>
    <t>https://cloudinary.images-iherb.com/image/upload/f_auto,q_auto:eco/images/ahr/ahr12004/l/74.jpg</t>
  </si>
  <si>
    <t>665231120080</t>
  </si>
  <si>
    <t>https://cloudinary.images-iherb.com/image/upload/f_auto,q_auto:eco/images/ahr/ahr12008/v/37.jpg</t>
  </si>
  <si>
    <t>https://cloudinary.images-iherb.com/image/upload/f_auto,q_auto:eco/images/ahr/ahr12008/l/42.jpg</t>
  </si>
  <si>
    <t>BLACK SEED OIL 1250MG XL</t>
  </si>
  <si>
    <t>60SG</t>
  </si>
  <si>
    <t>665231131604</t>
  </si>
  <si>
    <t>BLACK SEED OIL 500MG</t>
  </si>
  <si>
    <t>90SG</t>
  </si>
  <si>
    <t>665231130904</t>
  </si>
  <si>
    <t>https://cloudinary.images-iherb.com/image/upload/f_auto,q_auto:eco/images/ahr/ahr13090/v/49.jpg</t>
  </si>
  <si>
    <t>https://cloudinary.images-iherb.com/image/upload/f_auto,q_auto:eco/images/ahr/ahr13090/l/54.jpg</t>
  </si>
  <si>
    <t>BLACK SEED ORIG PLAIN</t>
  </si>
  <si>
    <t>665231021004</t>
  </si>
  <si>
    <t>https://cloudinary.images-iherb.com/image/upload/f_auto,q_auto:eco/images/ahr/ahr02100/v/33.jpg</t>
  </si>
  <si>
    <t>https://cloudinary.images-iherb.com/image/upload/f_auto,q_auto:eco/images/ahr/ahr02100/l/35.jpg</t>
  </si>
  <si>
    <t>BLACK SEED PREMIUM VEG CP</t>
  </si>
  <si>
    <t>665231135602</t>
  </si>
  <si>
    <t>BLACK SEED SOAP ALOE</t>
  </si>
  <si>
    <t>4.25OZ</t>
  </si>
  <si>
    <t>665231700466</t>
  </si>
  <si>
    <t>https://cloudinary.images-iherb.com/image/upload/f_auto,q_auto:eco/images/ahr/ahr70046/v/15.jpg</t>
  </si>
  <si>
    <t>https://cloudinary.images-iherb.com/image/upload/f_auto,q_auto:eco/images/ahr/ahr70046/l/22.jpg</t>
  </si>
  <si>
    <t>https://cloudinary.images-iherb.com/image/upload/f_auto,q_auto:eco/images/ahr/ahr70046/l/13.jpg</t>
  </si>
  <si>
    <t>BLACK SEED SOAP OATML&amp;HNY</t>
  </si>
  <si>
    <t>665231700428</t>
  </si>
  <si>
    <t>https://cloudinary.images-iherb.com/image/upload/f_auto,q_auto:eco/images/ahr/ahr70042/v/10.jpg</t>
  </si>
  <si>
    <t>https://cloudinary.images-iherb.com/image/upload/f_auto,q_auto:eco/images/ahr/ahr70042/l/16.jpg</t>
  </si>
  <si>
    <t>https://cloudinary.images-iherb.com/image/upload/f_auto,q_auto:eco/images/ahr/ahr70042/l/9.jpg</t>
  </si>
  <si>
    <t>BLACK SEED SOAP VEG GLYCR</t>
  </si>
  <si>
    <t>665231700404</t>
  </si>
  <si>
    <t>https://cloudinary.images-iherb.com/image/upload/f_auto,q_auto:eco/images/ahr/ahr70040/v/13.jpg</t>
  </si>
  <si>
    <t>https://cloudinary.images-iherb.com/image/upload/f_auto,q_auto:eco/images/ahr/ahr70040/l/20.jpg</t>
  </si>
  <si>
    <t>https://cloudinary.images-iherb.com/image/upload/f_auto,q_auto:eco/images/ahr/ahr70040/l/10.jpg</t>
  </si>
  <si>
    <t>BLACK SEED ULTIMATE</t>
  </si>
  <si>
    <t>100CP</t>
  </si>
  <si>
    <t>665231041002</t>
  </si>
  <si>
    <t>https://cloudinary.images-iherb.com/image/upload/f_auto,q_auto:eco/images/ahr/ahr04100/v/8.jpg</t>
  </si>
  <si>
    <t>https://cloudinary.images-iherb.com/image/upload/f_auto,q_auto:eco/images/ahr/ahr04100/l/14.jpg</t>
  </si>
  <si>
    <t>BLACK SEED W FLAX BLEND</t>
  </si>
  <si>
    <t>665231110081</t>
  </si>
  <si>
    <t>https://cloudinary.images-iherb.com/image/upload/f_auto,q_auto:eco/images/ahr/ahr11008/v/12.jpg</t>
  </si>
  <si>
    <t>https://cloudinary.images-iherb.com/image/upload/f_auto,q_auto:eco/images/ahr/ahr11008/l/14.jpg</t>
  </si>
  <si>
    <t>BLACK SEED W OREGANO OIL</t>
  </si>
  <si>
    <t>665231920017</t>
  </si>
  <si>
    <t>BLACK SEED WHOLE SEED</t>
  </si>
  <si>
    <t>665231861167</t>
  </si>
  <si>
    <t>https://cloudinary.images-iherb.com/image/upload/f_auto,q_auto:eco/images/ahr/ahr86116/v/8.jpg</t>
  </si>
  <si>
    <t>https://cloudinary.images-iherb.com/image/upload/f_auto,q_auto:eco/images/ahr/ahr86116/l/15.jpg</t>
  </si>
  <si>
    <t>665231861082</t>
  </si>
  <si>
    <t>EGYPTIAN BLACK SEED OIL</t>
  </si>
  <si>
    <t>665231170085</t>
  </si>
  <si>
    <t>HONEYZEST ENERGIZING</t>
  </si>
  <si>
    <t>665231842166</t>
  </si>
  <si>
    <t>HONEYZEST IMMUNE</t>
  </si>
  <si>
    <t>665231843163</t>
  </si>
  <si>
    <t>MACA EXPRESS LIQ EXTRACT</t>
  </si>
  <si>
    <t>665231488023</t>
  </si>
  <si>
    <t>MIRACLE SKIN REPAIR CREAM</t>
  </si>
  <si>
    <t>665231760019</t>
  </si>
  <si>
    <t>https://cloudinary.images-iherb.com/image/upload/f_auto,q_auto:eco/images/ahr/ahr76001/v/8.jpg</t>
  </si>
  <si>
    <t>https://cloudinary.images-iherb.com/image/upload/f_auto,q_auto:eco/images/ahr/ahr76001/l/12.jpg</t>
  </si>
  <si>
    <t>665231760064</t>
  </si>
  <si>
    <t>https://cloudinary.images-iherb.com/image/upload/f_auto,q_auto:eco/images/ahr/ahr76006/v/12.jpg</t>
  </si>
  <si>
    <t>https://cloudinary.images-iherb.com/image/upload/f_auto,q_auto:eco/images/ahr/ahr76006/l/16.jpg</t>
  </si>
  <si>
    <t>https://cloudinary.images-iherb.com/image/upload/f_auto,q_auto:eco/images/ahr/ahr76006/l/23.jpg</t>
  </si>
  <si>
    <t>TONGKAT ALI LIQUID EXTRCT</t>
  </si>
  <si>
    <t>665231610017</t>
  </si>
  <si>
    <t>https://cloudinary.images-iherb.com/image/upload/f_auto,q_auto:eco/images/ahr/ahr61001/v/8.jpg</t>
  </si>
  <si>
    <t>https://cloudinary.images-iherb.com/image/upload/f_auto,q_auto:eco/images/ahr/ahr61001/l/10.jpg</t>
  </si>
  <si>
    <t>TONGKAT ALI POWDER</t>
  </si>
  <si>
    <t>665231610048</t>
  </si>
  <si>
    <t>https://cloudinary.images-iherb.com/image/upload/f_auto,q_auto:eco/images/ahr/ahr61004/v/8.jpg</t>
  </si>
  <si>
    <t>https://cloudinary.images-iherb.com/image/upload/f_auto,q_auto:eco/images/ahr/ahr61004/l/9.jpg</t>
  </si>
  <si>
    <t>YOHIMBE EXPRESS LIQ EXTRC</t>
  </si>
  <si>
    <t>665231380064</t>
  </si>
  <si>
    <t>https://cloudinary.images-iherb.com/image/upload/f_auto,q_auto:eco/images/ahr/ahr38006/v/8.jpg</t>
  </si>
  <si>
    <t>https://cloudinary.images-iherb.com/image/upload/f_auto,q_auto:eco/images/ahr/ahr38006/l/11.jpg</t>
  </si>
  <si>
    <t>ANDALOU</t>
  </si>
  <si>
    <t>AGE DEFY APRCT CLNSE MILK</t>
  </si>
  <si>
    <t>859975002218</t>
  </si>
  <si>
    <t>https://cloudinary.images-iherb.com/image/upload/f_auto,q_auto:eco/images/adn/adn00221/v/37.jpg</t>
  </si>
  <si>
    <t>https://cloudinary.images-iherb.com/image/upload/f_auto,q_auto:eco/images/adn/adn00221/l/38.jpg</t>
  </si>
  <si>
    <t>https://cloudinary.images-iherb.com/image/upload/f_auto,q_auto:eco/images/adn/adn00221/l/40.jpg</t>
  </si>
  <si>
    <t>AGE DEFY BB NATURAL SPF30</t>
  </si>
  <si>
    <t>859975002683</t>
  </si>
  <si>
    <t>https://cloudinary.images-iherb.com/image/upload/f_auto,q_auto:eco/images/adn/adn00268/v/92.jpg</t>
  </si>
  <si>
    <t>https://cloudinary.images-iherb.com/image/upload/f_auto,q_auto:eco/images/adn/adn00268/l/82.jpg</t>
  </si>
  <si>
    <t>https://cloudinary.images-iherb.com/image/upload/f_auto,q_auto:eco/images/adn/adn00268/l/89.jpg</t>
  </si>
  <si>
    <t>AGE DEFY DMAE LFT&amp;FRM CRM</t>
  </si>
  <si>
    <t>1.7OZ</t>
  </si>
  <si>
    <t>859975002492</t>
  </si>
  <si>
    <t>https://cloudinary.images-iherb.com/image/upload/f_auto,q_auto:eco/images/adn/adn00249/v/77.jpg</t>
  </si>
  <si>
    <t>https://cloudinary.images-iherb.com/image/upload/f_auto,q_auto:eco/images/adn/adn00249/l/80.jpg</t>
  </si>
  <si>
    <t>https://cloudinary.images-iherb.com/image/upload/f_auto,q_auto:eco/images/adn/adn00249/l/83.jpg</t>
  </si>
  <si>
    <t>https://cloudinary.images-iherb.com/image/upload/f_auto,q_auto:eco/images/adn/adn00249/l/78.jpg</t>
  </si>
  <si>
    <t>AGE DEFY ENZYM MASK BERRY</t>
  </si>
  <si>
    <t>859975002256</t>
  </si>
  <si>
    <t>https://www.vitacost.com/Images/Products/500/Andalou-Naturals/Andalou-Naturals-BioActive-Berry-Fruit-Enzyme-Mask-859975002256.jpg</t>
  </si>
  <si>
    <t>AGE DEFY FACE SERUM SPF30</t>
  </si>
  <si>
    <t>859975002690</t>
  </si>
  <si>
    <t>https://cloudinary.images-iherb.com/image/upload/f_auto,q_auto:eco/images/adn/adn00269/v/86.jpg</t>
  </si>
  <si>
    <t>https://cloudinary.images-iherb.com/image/upload/f_auto,q_auto:eco/images/adn/adn00269/l/87.jpg</t>
  </si>
  <si>
    <t>https://cloudinary.images-iherb.com/image/upload/f_auto,q_auto:eco/images/adn/adn00269/l/88.jpg</t>
  </si>
  <si>
    <t>AGE DEFY FACIAL LTN SPF30</t>
  </si>
  <si>
    <t>2.7OZ</t>
  </si>
  <si>
    <t>850018119658</t>
  </si>
  <si>
    <t>https://www.vitacost.com/Images/Products/500/Andalou-Naturals/Andalou-Naturals-Facial-Lotion-Age-Defying-Ultra-Sheer-Daily-Defense-Mineral-SPF-30-850018119658.jpg</t>
  </si>
  <si>
    <t>AGE DEFY FRUIT CELL SERUM</t>
  </si>
  <si>
    <t>1.1OZ</t>
  </si>
  <si>
    <t>859975002331</t>
  </si>
  <si>
    <t>https://cloudinary.images-iherb.com/image/upload/f_auto,q_auto:eco/images/adn/adn00233/v/27.jpg</t>
  </si>
  <si>
    <t>https://cloudinary.images-iherb.com/image/upload/f_auto,q_auto:eco/images/adn/adn00233/l/28.jpg</t>
  </si>
  <si>
    <t>https://cloudinary.images-iherb.com/image/upload/f_auto,q_auto:eco/images/adn/adn00233/l/30.jpg</t>
  </si>
  <si>
    <t>AGE DEFY GOJI PERFECT CRM</t>
  </si>
  <si>
    <t>859975002294</t>
  </si>
  <si>
    <t>https://cloudinary.images-iherb.com/image/upload/f_auto,q_auto:eco/images/adn/adn00229/v/44.jpg</t>
  </si>
  <si>
    <t>https://cloudinary.images-iherb.com/image/upload/f_auto,q_auto:eco/images/adn/adn00229/l/43.jpg</t>
  </si>
  <si>
    <t>https://cloudinary.images-iherb.com/image/upload/f_auto,q_auto:eco/images/adn/adn00229/l/47.jpg</t>
  </si>
  <si>
    <t>https://cloudinary.images-iherb.com/image/upload/f_auto,q_auto:eco/images/adn/adn00229/l/46.jpg</t>
  </si>
  <si>
    <t>AGE DEFY Q10 NIGHT CREAM</t>
  </si>
  <si>
    <t>859975002317</t>
  </si>
  <si>
    <t>https://cloudinary.images-iherb.com/image/upload/f_auto,q_auto:eco/images/adn/adn00231/v/71.jpg</t>
  </si>
  <si>
    <t>https://cloudinary.images-iherb.com/image/upload/f_auto,q_auto:eco/images/adn/adn00231/l/74.jpg</t>
  </si>
  <si>
    <t>https://cloudinary.images-iherb.com/image/upload/f_auto,q_auto:eco/images/adn/adn00231/r/75.jpg</t>
  </si>
  <si>
    <t>https://cloudinary.images-iherb.com/image/upload/f_auto,q_auto:eco/images/adn/adn00231/l/72.jpg</t>
  </si>
  <si>
    <t>AGE DEFY SKIN MASK COCOA</t>
  </si>
  <si>
    <t>859975002270</t>
  </si>
  <si>
    <t>https://www.vitacost.com/Images/Products/500/Andalou-Naturals/Andalou-Naturals-Age-Defying-Skin-Food-Nourishing-Mask-Avo-Cocoa-859975002270.jpg</t>
  </si>
  <si>
    <t>AGE DEFY SLEEP MASK</t>
  </si>
  <si>
    <t>850018119221</t>
  </si>
  <si>
    <t>https://www.vitacost.com/Images/Products/500/Andalou-Naturals/Andalou-Naturals-Age-Defying-Rejuvenating-Sleeping-Mask-850018119221.jpg</t>
  </si>
  <si>
    <t>AGE DEFY SPF18 FACELOTION</t>
  </si>
  <si>
    <t>859975002324</t>
  </si>
  <si>
    <t>https://cloudinary.images-iherb.com/image/upload/f_auto,q_auto:eco/images/adn/adn00232/v/40.jpg</t>
  </si>
  <si>
    <t>https://cloudinary.images-iherb.com/image/upload/f_auto,q_auto:eco/images/adn/adn00232/l/41.jpg</t>
  </si>
  <si>
    <t>https://cloudinary.images-iherb.com/image/upload/f_auto,q_auto:eco/images/adn/adn00232/l/43.jpg</t>
  </si>
  <si>
    <t>AGE DEFY TONER REFRESH</t>
  </si>
  <si>
    <t>859975002249</t>
  </si>
  <si>
    <t>https://cloudinary.images-iherb.com/image/upload/f_auto,q_auto:eco/images/adn/adn00224/v/46.jpg</t>
  </si>
  <si>
    <t>https://cloudinary.images-iherb.com/image/upload/f_auto,q_auto:eco/images/adn/adn00224/l/44.jpg</t>
  </si>
  <si>
    <t>https://cloudinary.images-iherb.com/image/upload/f_auto,q_auto:eco/images/adn/adn00224/l/45.jpg</t>
  </si>
  <si>
    <t>AGE DEFY WRINKLE FILLER</t>
  </si>
  <si>
    <t>.6OZ</t>
  </si>
  <si>
    <t>859975002355</t>
  </si>
  <si>
    <t>https://cloudinary.images-iherb.com/image/upload/f_auto,q_auto:eco/images/adn/adn00235/v/34.jpg</t>
  </si>
  <si>
    <t>https://cloudinary.images-iherb.com/image/upload/f_auto,q_auto:eco/images/adn/adn00235/l/36.jpg</t>
  </si>
  <si>
    <t>https://cloudinary.images-iherb.com/image/upload/f_auto,q_auto:eco/images/adn/adn00235/l/39.jpg</t>
  </si>
  <si>
    <t>AGE REJUV RETINOL CREAM</t>
  </si>
  <si>
    <t>850018119054</t>
  </si>
  <si>
    <t>https://cloudinary.images-iherb.com/image/upload/f_auto,q_auto:eco/images/adn/adn11905/v/37.jpg</t>
  </si>
  <si>
    <t>https://cloudinary.images-iherb.com/image/upload/f_auto,q_auto:eco/images/adn/adn11905/l/36.jpg</t>
  </si>
  <si>
    <t>https://cloudinary.images-iherb.com/image/upload/f_auto,q_auto:eco/images/adn/adn11905/l/35.jpg</t>
  </si>
  <si>
    <t>https://cloudinary.images-iherb.com/image/upload/f_auto,q_auto:eco/images/adn/adn11905/l/34.jpg</t>
  </si>
  <si>
    <t>AGE REJUV RETINOL EYE BLM</t>
  </si>
  <si>
    <t>.45OZ</t>
  </si>
  <si>
    <t>850018119047</t>
  </si>
  <si>
    <t>https://cloudinary.images-iherb.com/image/upload/f_auto,q_auto:eco/images/adn/adn11904/v/38.jpg</t>
  </si>
  <si>
    <t>https://cloudinary.images-iherb.com/image/upload/f_auto,q_auto:eco/images/adn/adn11904/l/28.jpg</t>
  </si>
  <si>
    <t>https://cloudinary.images-iherb.com/image/upload/f_auto,q_auto:eco/images/adn/adn11904/l/30.jpg</t>
  </si>
  <si>
    <t>AGE REJUV RETINOL SERUM</t>
  </si>
  <si>
    <t>850018119030</t>
  </si>
  <si>
    <t>https://www.vitacost.com/Images/Products/500/Andalou-Naturals/Andalou-Naturals-Age-Defying-Rejuvenating-Plant-Based-Retinol-Alternative-Serum-850018119030.jpg</t>
  </si>
  <si>
    <t>BODY BUTTER KUKUI COCOA</t>
  </si>
  <si>
    <t>859975002188</t>
  </si>
  <si>
    <t>https://www.vitacost.com/Images/Products/500/Andalou-Naturals/Andalou-Naturals-Nourishing-Body-Butter-Kukui-Cocoa-859975002188.jpg</t>
  </si>
  <si>
    <t>BODY BUTTER ROSE SENSITVE</t>
  </si>
  <si>
    <t>859975020267</t>
  </si>
  <si>
    <t>https://www.vitacost.com/Images/Products/500/Andalou-Naturals/Andalou-Naturals-Velvet-Soft-1000-Roses-Body-Butter-859975020267.jpg</t>
  </si>
  <si>
    <t>BRIGHT BB SPF30 TINTED</t>
  </si>
  <si>
    <t>859975002522</t>
  </si>
  <si>
    <t>https://cloudinary.images-iherb.com/image/upload/f_auto,q_auto:eco/images/adn/adn00252/v/74.jpg</t>
  </si>
  <si>
    <t>https://cloudinary.images-iherb.com/image/upload/f_auto,q_auto:eco/images/adn/adn00252/l/65.jpg</t>
  </si>
  <si>
    <t>https://cloudinary.images-iherb.com/image/upload/f_auto,q_auto:eco/images/adn/adn00252/l/72.jpg</t>
  </si>
  <si>
    <t>BRIGHT CARROT NIGHT CREAM</t>
  </si>
  <si>
    <t>859975002508</t>
  </si>
  <si>
    <t>https://cloudinary.images-iherb.com/image/upload/f_auto,q_auto:eco/images/adn/adn00250/v/44.jpg</t>
  </si>
  <si>
    <t>https://cloudinary.images-iherb.com/image/upload/f_auto,q_auto:eco/images/adn/adn00250/l/38.jpg</t>
  </si>
  <si>
    <t>https://cloudinary.images-iherb.com/image/upload/f_auto,q_auto:eco/images/adn/adn00250/l/39.jpg</t>
  </si>
  <si>
    <t>https://cloudinary.images-iherb.com/image/upload/f_auto,q_auto:eco/images/adn/adn00250/l/37.jpg</t>
  </si>
  <si>
    <t>BRIGHT CLEMENTINE TONER</t>
  </si>
  <si>
    <t>859975002461</t>
  </si>
  <si>
    <t>https://cloudinary.images-iherb.com/image/upload/f_auto,q_auto:eco/images/adn/adn00246/v/41.jpg</t>
  </si>
  <si>
    <t>https://cloudinary.images-iherb.com/image/upload/f_auto,q_auto:eco/images/adn/adn00246/l/43.jpg</t>
  </si>
  <si>
    <t>https://cloudinary.images-iherb.com/image/upload/f_auto,q_auto:eco/images/adn/adn00246/l/42.jpg</t>
  </si>
  <si>
    <t>BRIGHT DARK SPOT CORRECT</t>
  </si>
  <si>
    <t>850018119603</t>
  </si>
  <si>
    <t>https://cloudinary.images-iherb.com/image/upload/f_auto,q_auto:eco/images/adn/adn11960/v/55.jpg</t>
  </si>
  <si>
    <t>https://cloudinary.images-iherb.com/image/upload/f_auto,q_auto:eco/images/adn/adn11960/l/53.jpg</t>
  </si>
  <si>
    <t>https://cloudinary.images-iherb.com/image/upload/f_auto,q_auto:eco/images/adn/adn11960/l/54.jpg</t>
  </si>
  <si>
    <t>BRIGHT LEMON CLEANSER</t>
  </si>
  <si>
    <t>859975002225</t>
  </si>
  <si>
    <t>https://cloudinary.images-iherb.com/image/upload/f_auto,q_auto:eco/images/adn/adn00222/v/82.jpg</t>
  </si>
  <si>
    <t>https://cloudinary.images-iherb.com/image/upload/f_auto,q_auto:eco/images/adn/adn00222/r/83.jpg</t>
  </si>
  <si>
    <t>https://cloudinary.images-iherb.com/image/upload/f_auto,q_auto:eco/images/adn/adn00222/l/84.jpg</t>
  </si>
  <si>
    <t>BRIGHT LUMINOUS EYE SERUM</t>
  </si>
  <si>
    <t>859975002362</t>
  </si>
  <si>
    <t>https://cloudinary.images-iherb.com/image/upload/f_auto,q_auto:eco/images/adn/adn00236/v/38.jpg</t>
  </si>
  <si>
    <t>https://cloudinary.images-iherb.com/image/upload/f_auto,q_auto:eco/images/adn/adn00236/l/37.jpg</t>
  </si>
  <si>
    <t>https://cloudinary.images-iherb.com/image/upload/f_auto,q_auto:eco/images/adn/adn00236/l/39.jpg</t>
  </si>
  <si>
    <t>BRIGHT PROBOTIC RNWAL CRM</t>
  </si>
  <si>
    <t>859975002300</t>
  </si>
  <si>
    <t>https://cloudinary.images-iherb.com/image/upload/f_auto,q_auto:eco/images/adn/adn00230/v/56.jpg</t>
  </si>
  <si>
    <t>https://cloudinary.images-iherb.com/image/upload/f_auto,q_auto:eco/images/adn/adn00230/l/60.jpg</t>
  </si>
  <si>
    <t>https://cloudinary.images-iherb.com/image/upload/f_auto,q_auto:eco/images/adn/adn00230/l/63.jpg</t>
  </si>
  <si>
    <t>https://cloudinary.images-iherb.com/image/upload/f_auto,q_auto:eco/images/adn/adn00230/l/57.jpg</t>
  </si>
  <si>
    <t>BRIGHT PUMPKIN GLYC MASK</t>
  </si>
  <si>
    <t>859975002263</t>
  </si>
  <si>
    <t>https://cloudinary.images-iherb.com/image/upload/f_auto,q_auto:eco/images/adn/adn00226/v/70.jpg</t>
  </si>
  <si>
    <t>https://cloudinary.images-iherb.com/image/upload/f_auto,q_auto:eco/images/adn/adn00226/r/73.jpg</t>
  </si>
  <si>
    <t>https://cloudinary.images-iherb.com/image/upload/f_auto,q_auto:eco/images/adn/adn00226/l/74.jpg</t>
  </si>
  <si>
    <t>https://cloudinary.images-iherb.com/image/upload/f_auto,q_auto:eco/images/adn/adn00226/l/71.jpg</t>
  </si>
  <si>
    <t>BRIGHT TUMERIC&amp;C SERUM</t>
  </si>
  <si>
    <t>859975002546</t>
  </si>
  <si>
    <t>https://cloudinary.images-iherb.com/image/upload/f_auto,q_auto:eco/images/adn/adn00254/v/32.jpg</t>
  </si>
  <si>
    <t>https://cloudinary.images-iherb.com/image/upload/f_auto,q_auto:eco/images/adn/adn00254/l/33.jpg</t>
  </si>
  <si>
    <t>https://cloudinary.images-iherb.com/image/upload/f_auto,q_auto:eco/images/adn/adn00254/l/35.jpg</t>
  </si>
  <si>
    <t>CANNACELL CLEANSING FOAM</t>
  </si>
  <si>
    <t>5.5OZ</t>
  </si>
  <si>
    <t>856932007101</t>
  </si>
  <si>
    <t>https://www.vitacost.com/Images/Products/500/Andalou-Naturals/Andalou-Naturals-CannaCell-Cleansing-Foam-856932007101.jpg</t>
  </si>
  <si>
    <t>CANNACELL FACIAL SERUM</t>
  </si>
  <si>
    <t>856932007156</t>
  </si>
  <si>
    <t>https://m.media-amazon.com/images/I/517IqOXrANL._SY879_.jpg</t>
  </si>
  <si>
    <t>https://m.media-amazon.com/images/I/51ksvnHrt+L._SY879_.jpg</t>
  </si>
  <si>
    <t>https://m.media-amazon.com/images/I/61ICLB-lHfL._SY879_.jpg</t>
  </si>
  <si>
    <t>CANNACELL HAPPY DAY CREAM</t>
  </si>
  <si>
    <t>856932007194</t>
  </si>
  <si>
    <t>https://m.media-amazon.com/images/I/61fk9l4I1vL._SX679_.jpg</t>
  </si>
  <si>
    <t>https://m.media-amazon.com/images/I/71pNItjhDNL._SX679_.jpg</t>
  </si>
  <si>
    <t>https://m.media-amazon.com/images/I/715-mFGzRDL._SX679_.jpg</t>
  </si>
  <si>
    <t>CANNACELL NIGHT CREAM</t>
  </si>
  <si>
    <t>856932007200</t>
  </si>
  <si>
    <t>https://www.vitacost.com/Images/Products/500/Andalou-Naturals/Andalou-Naturals-CannaCell-Dreamy-Night-Cream-856932007200.jpg</t>
  </si>
  <si>
    <t>CANNACELL PUFF EYE CREAM</t>
  </si>
  <si>
    <t>.60OZ</t>
  </si>
  <si>
    <t>856932007187</t>
  </si>
  <si>
    <t>https://www.vitamart.ca/cdn/shop/products/andalou-naturals-cannacell-d-puff-eye-cream-18ml_5ed8fd75-249c-4bbb-9218-194c964c593c.jpg?v=1716073436&amp;width=1100</t>
  </si>
  <si>
    <t>https://sndonline.com/image/cache/data/products/599724-500x500.jpg</t>
  </si>
  <si>
    <t>CLARIFY ACAI OIL-FR MOIST</t>
  </si>
  <si>
    <t>2.1OZ</t>
  </si>
  <si>
    <t>859975002447</t>
  </si>
  <si>
    <t>https://cloudinary.images-iherb.com/image/upload/f_auto,q_auto:eco/images/adn/adn00244/v/39.jpg</t>
  </si>
  <si>
    <t>https://cloudinary.images-iherb.com/image/upload/f_auto,q_auto:eco/images/adn/adn00244/l/30.jpg</t>
  </si>
  <si>
    <t>https://cloudinary.images-iherb.com/image/upload/f_auto,q_auto:eco/images/adn/adn00244/l/37.jpg</t>
  </si>
  <si>
    <t>CLARIFY CITRUS CLEAN GEL</t>
  </si>
  <si>
    <t>859975002232</t>
  </si>
  <si>
    <t>https://cloudinary.images-iherb.com/image/upload/f_auto,q_auto:eco/images/adn/adn00223/v/59.jpg</t>
  </si>
  <si>
    <t>https://cloudinary.images-iherb.com/image/upload/f_auto,q_auto:eco/images/adn/adn00223/l/60.jpg</t>
  </si>
  <si>
    <t>https://cloudinary.images-iherb.com/image/upload/f_auto,q_auto:eco/images/adn/adn00223/l/61.jpg</t>
  </si>
  <si>
    <t>CLARIFY POLLUTION D SPF30</t>
  </si>
  <si>
    <t>850018119641</t>
  </si>
  <si>
    <t>https://cloudinary.images-iherb.com/image/upload/f_auto,q_auto:eco/images/adn/adn11964/v/18.jpg</t>
  </si>
  <si>
    <t>https://cloudinary.images-iherb.com/image/upload/f_auto,q_auto:eco/images/adn/adn11964/l/11.jpg</t>
  </si>
  <si>
    <t>https://cloudinary.images-iherb.com/image/upload/f_auto,q_auto:eco/images/adn/adn11964/l/19.jpg</t>
  </si>
  <si>
    <t>CLARIFY TONE PORE MINMIZR</t>
  </si>
  <si>
    <t>859975002478</t>
  </si>
  <si>
    <t>https://cloudinary.images-iherb.com/image/upload/f_auto,q_auto:eco/images/adn/adn00247/v/65.jpg</t>
  </si>
  <si>
    <t>https://cloudinary.images-iherb.com/image/upload/f_auto,q_auto:eco/images/adn/adn00247/l/66.jpg</t>
  </si>
  <si>
    <t>https://cloudinary.images-iherb.com/image/upload/f_auto,q_auto:eco/images/adn/adn00247/l/67.jpg</t>
  </si>
  <si>
    <t>COND 1000 ROSES</t>
  </si>
  <si>
    <t>11.5OZ</t>
  </si>
  <si>
    <t>859975020656</t>
  </si>
  <si>
    <t>https://cloudinary.images-iherb.com/image/upload/f_auto,q_auto:eco/images/adn/adn02065/v/25.jpg</t>
  </si>
  <si>
    <t>https://cloudinary.images-iherb.com/image/upload/f_auto,q_auto:eco/images/adn/adn02065/l/29.jpg</t>
  </si>
  <si>
    <t>COND AGE DEFY STEM CELL</t>
  </si>
  <si>
    <t>6/1.7OZ</t>
  </si>
  <si>
    <t>859975020823</t>
  </si>
  <si>
    <t>https://m.media-amazon.com/images/I/71XqUyOwEZL._SY879_.jpg</t>
  </si>
  <si>
    <t>https://m.media-amazon.com/images/I/71h-Dvj02nL._SY879_.jpg</t>
  </si>
  <si>
    <t>https://m.media-amazon.com/images/I/81KQD5jbGdL._SX679_.jpg</t>
  </si>
  <si>
    <t>COND ARGAN&amp;ORNG MOISTURE</t>
  </si>
  <si>
    <t>859975002065</t>
  </si>
  <si>
    <t>https://cloudinary.images-iherb.com/image/upload/f_auto,q_auto:eco/images/adn/adn00206/v/60.jpg</t>
  </si>
  <si>
    <t>https://cloudinary.images-iherb.com/image/upload/f_auto,q_auto:eco/images/adn/adn00206/l/64.jpg</t>
  </si>
  <si>
    <t>COND ARGN&amp;SHEA MSTRE</t>
  </si>
  <si>
    <t>859975020809</t>
  </si>
  <si>
    <t>https://cloudinary.images-iherb.com/image/upload/f_auto,q_auto:eco/images/adn/adn02080/v/26.jpg</t>
  </si>
  <si>
    <t>https://cloudinary.images-iherb.com/image/upload/f_auto,q_auto:eco/images/adn/adn02080/l/30.jpg</t>
  </si>
  <si>
    <t>COND CANNACELL MOISTURE</t>
  </si>
  <si>
    <t>856932007319</t>
  </si>
  <si>
    <t>https://cdn1.skinsafeproducts.com/photo/0CEC815AEDD453/large_1587821459.jpeg?1587821459</t>
  </si>
  <si>
    <t>https://cdn1.skinsafeproducts.com/photo/CF21EF4BD66AEB/large_1587821472.jpeg?1587821472</t>
  </si>
  <si>
    <t>COND LAV BIOTIN VOLUME</t>
  </si>
  <si>
    <t>859975002041</t>
  </si>
  <si>
    <t>https://cloudinary.images-iherb.com/image/upload/f_auto,q_auto:eco/images/adn/adn00204/v/36.jpg</t>
  </si>
  <si>
    <t>https://cloudinary.images-iherb.com/image/upload/f_auto,q_auto:eco/images/adn/adn00204/l/40.jpg</t>
  </si>
  <si>
    <t>COND MARULA OIL</t>
  </si>
  <si>
    <t>859975020694</t>
  </si>
  <si>
    <t>https://cloudinary.images-iherb.com/image/upload/f_auto,q_auto:eco/images/adn/adn02069/v/21.jpg</t>
  </si>
  <si>
    <t>https://cloudinary.images-iherb.com/image/upload/f_auto,q_auto:eco/images/adn/adn02069/l/25.jpg</t>
  </si>
  <si>
    <t>COND SUNFLOWER SHINE</t>
  </si>
  <si>
    <t>859975002058</t>
  </si>
  <si>
    <t>https://cloudinary.images-iherb.com/image/upload/f_auto,q_auto:eco/images/adn/adn00205/v/39.jpg</t>
  </si>
  <si>
    <t>https://cloudinary.images-iherb.com/image/upload/f_auto,q_auto:eco/images/adn/adn00205/l/43.jpg</t>
  </si>
  <si>
    <t>DEEP HYDRA BLUE LIGHT</t>
  </si>
  <si>
    <t>850018119631</t>
  </si>
  <si>
    <t>https://m.media-amazon.com/images/I/61cokkdW1yL._SX679_.jpg</t>
  </si>
  <si>
    <t>https://m.media-amazon.com/images/I/51eUNbhjsYL._SX679_.jpg</t>
  </si>
  <si>
    <t>https://m.media-amazon.com/images/I/71exntMsrEL._SX679_.jpg</t>
  </si>
  <si>
    <t>https://m.media-amazon.com/images/I/71-13mg4JEL._SX679_.jpg</t>
  </si>
  <si>
    <t>DEEP HYDRATE BALM</t>
  </si>
  <si>
    <t>850018119245</t>
  </si>
  <si>
    <t>https://m.media-amazon.com/images/S/assets.wholefoodsmarket.com/PIE/product/41VhfUy44gL._FMwebp__SR100,100_.jpg</t>
  </si>
  <si>
    <t>https://m.media-amazon.com/images/S/assets.wholefoodsmarket.com/PIE/product/51iabcEJ0SL._FMwebp__SR100,100_.jpg</t>
  </si>
  <si>
    <t>https://m.media-amazon.com/images/S/assets.wholefoodsmarket.com/PIE/product/416gE4erAJL._FMwebp__SR100,100_.jpg</t>
  </si>
  <si>
    <t>DEEP HYDRATE CLEANSE GEL</t>
  </si>
  <si>
    <t>850018119306</t>
  </si>
  <si>
    <t>https://www.vitacost.com/Images/Products/500/Andalou-Naturals/Andalou-Naturals-Deep-Hydration-Revitalizing-Cleansing-Gel-850018119306.jpg</t>
  </si>
  <si>
    <t>https://sndonline.com/image/cache/data/products/599306-228x228.jpg</t>
  </si>
  <si>
    <t>DEEP HYDRATE EYE CREAM</t>
  </si>
  <si>
    <t>850018119146</t>
  </si>
  <si>
    <t>https://sndonline.com/image/cache/data/products/599914-500x500.jpg</t>
  </si>
  <si>
    <t>https://www.vitacost.com/Images/Products/500/Andalou-Naturals/Andalou-Naturals-Deep-Hydration-Reviving-Eye-Cream-850018119146.jpg</t>
  </si>
  <si>
    <t>DEEP HYDRATE GEL CREAM</t>
  </si>
  <si>
    <t>850018119139</t>
  </si>
  <si>
    <t>https://cloudinary.images-iherb.com/image/upload/f_auto,q_auto:eco/images/adn/adn11913/v/29.jpg</t>
  </si>
  <si>
    <t>https://cloudinary.images-iherb.com/image/upload/f_auto,q_auto:eco/images/adn/adn11913/l/27.jpg</t>
  </si>
  <si>
    <t>https://cloudinary.images-iherb.com/image/upload/f_auto,q_auto:eco/images/adn/adn11913/l/32.jpg</t>
  </si>
  <si>
    <t>https://cloudinary.images-iherb.com/image/upload/f_auto,q_auto:eco/images/adn/adn11913/l/31.jpg</t>
  </si>
  <si>
    <t>DEEP HYDRATE LIFE SERUM</t>
  </si>
  <si>
    <t>850018119153</t>
  </si>
  <si>
    <t>https://cloudinary.images-iherb.com/image/upload/f_auto,q_auto:eco/images/adn/adn11915/v/29.jpg</t>
  </si>
  <si>
    <t>https://cloudinary.images-iherb.com/image/upload/f_auto,q_auto:eco/images/adn/adn11915/l/27.jpg</t>
  </si>
  <si>
    <t>https://cloudinary.images-iherb.com/image/upload/f_auto,q_auto:eco/images/adn/adn11915/r/28.jpg</t>
  </si>
  <si>
    <t>DEEP HYDRATE MIST</t>
  </si>
  <si>
    <t>850018119313</t>
  </si>
  <si>
    <t>https://cloudinary.images-iherb.com/image/upload/f_auto,q_auto:eco/images/adn/adn11931/v/28.jpg</t>
  </si>
  <si>
    <t>https://cloudinary.images-iherb.com/image/upload/f_auto,q_auto:eco/images/adn/adn11931/l/36.jpg</t>
  </si>
  <si>
    <t>https://cloudinary.images-iherb.com/image/upload/f_auto,q_auto:eco/images/adn/adn11931/l/37.jpg</t>
  </si>
  <si>
    <t>DEEP HYDRATE SLEEP MASK</t>
  </si>
  <si>
    <t>850018119214</t>
  </si>
  <si>
    <t>https://m.media-amazon.com/images/I/61Fw+QX1yRL._SX679_.jpg</t>
  </si>
  <si>
    <t>https://m.media-amazon.com/images/I/71UNU5QUSbL._SX679_.jpg</t>
  </si>
  <si>
    <t>https://m.media-amazon.com/images/I/71IID9RzCCL._SX679_.jpg</t>
  </si>
  <si>
    <t>HAND CREAM CLEMENTNE</t>
  </si>
  <si>
    <t>3.4OZ</t>
  </si>
  <si>
    <t>859975002669</t>
  </si>
  <si>
    <t>https://cloudinary.images-iherb.com/image/upload/f_auto,q_auto:eco/images/adn/adn00266/v/47.jpg</t>
  </si>
  <si>
    <t>https://cloudinary.images-iherb.com/image/upload/f_auto,q_auto:eco/images/adn/adn00266/l/51.jpg</t>
  </si>
  <si>
    <t>HAND CREAM LAVENDER SHEA</t>
  </si>
  <si>
    <t>859975002201</t>
  </si>
  <si>
    <t>https://cloudinary.images-iherb.com/image/upload/f_auto,q_auto:eco/images/adn/adn00220/v/35.jpg</t>
  </si>
  <si>
    <t>https://cloudinary.images-iherb.com/image/upload/f_auto,q_auto:eco/images/adn/adn00220/l/39.jpg</t>
  </si>
  <si>
    <t>LOTION CANNACELL HARMONY</t>
  </si>
  <si>
    <t>856932007224</t>
  </si>
  <si>
    <t>https://m.media-amazon.com/images/I/61UjuxhsqrL._SY879_.jpg</t>
  </si>
  <si>
    <t>https://m.media-amazon.com/images/I/6102kJKUbHL._SY879_.jpg</t>
  </si>
  <si>
    <t>LOTION CANNACELL RITUAL</t>
  </si>
  <si>
    <t>856932007231</t>
  </si>
  <si>
    <t>https://m.media-amazon.com/images/I/41o0ekxNJSL._SX679_.jpg</t>
  </si>
  <si>
    <t>https://m.media-amazon.com/images/I/41RqCi1OAOL.jpg</t>
  </si>
  <si>
    <t>https://m.media-amazon.com/images/I/71yviK7x3ZL._SX679_.jpg</t>
  </si>
  <si>
    <t>LOTION CITRUS VERBENA</t>
  </si>
  <si>
    <t>859975020151</t>
  </si>
  <si>
    <t>https://m.media-amazon.com/images/I/61RKcW-6sfL._SY879_.jpg</t>
  </si>
  <si>
    <t>https://m.media-amazon.com/images/I/71jCnOIq8iL._SY879_.jpg</t>
  </si>
  <si>
    <t>LOTION CLARIFY GRAPEFRT</t>
  </si>
  <si>
    <t>850018119856</t>
  </si>
  <si>
    <t>https://cloudinary.images-iherb.com/image/upload/f_auto,q_auto:eco/images/adn/adn11985/v/8.jpg</t>
  </si>
  <si>
    <t>https://cloudinary.images-iherb.com/image/upload/f_auto,q_auto:eco/images/adn/adn11985/l/12.jpg</t>
  </si>
  <si>
    <t>LOTION DEEP HYDRATE</t>
  </si>
  <si>
    <t>850018119801</t>
  </si>
  <si>
    <t>https://cloudinary.images-iherb.com/image/upload/f_auto,q_auto:eco/images/adn/adn11980/v/8.jpg</t>
  </si>
  <si>
    <t>https://cloudinary.images-iherb.com/image/upload/f_auto,q_auto:eco/images/adn/adn11980/l/12.jpg</t>
  </si>
  <si>
    <t>LOTION MANDARIN VANILLA</t>
  </si>
  <si>
    <t>859975020168</t>
  </si>
  <si>
    <t>https://m.media-amazon.com/images/I/61AILW23e9L._SY879_.jpg</t>
  </si>
  <si>
    <t>https://m.media-amazon.com/images/I/71LQonHcrKL._SY879_.jpg</t>
  </si>
  <si>
    <t>LOTION ROSE SENSITIVE</t>
  </si>
  <si>
    <t>856932007828</t>
  </si>
  <si>
    <t>https://m.media-amazon.com/images/I/51auHzKpr6L._SX679_.jpg</t>
  </si>
  <si>
    <t>https://m.media-amazon.com/images/I/61hezOkiYBL._SX679_.jpg</t>
  </si>
  <si>
    <t>https://www.instacart.com/image-server/699x699/www.instacart.com/assets/domains/product-image/file/large_b318868b-f70f-4f3c-99eb-070979e79e12.png</t>
  </si>
  <si>
    <t>859975020199</t>
  </si>
  <si>
    <t>https://cloudinary.images-iherb.com/image/upload/f_auto,q_auto:eco/images/adn/adn02019/v/46.jpg</t>
  </si>
  <si>
    <t>https://cloudinary.images-iherb.com/image/upload/f_auto,q_auto:eco/images/adn/adn02019/l/50.jpg</t>
  </si>
  <si>
    <t>LOTION ROSES SOOTHING</t>
  </si>
  <si>
    <t>859975020779</t>
  </si>
  <si>
    <t>https://m.media-amazon.com/images/I/614pAnwZbyL._SL1500_.jpg</t>
  </si>
  <si>
    <t>https://m.media-amazon.com/images/I/71qCXiuuUaL._SX679_.jpg</t>
  </si>
  <si>
    <t>MASK SHEET BRGT &amp; TIGHT</t>
  </si>
  <si>
    <t>6/.6OZ</t>
  </si>
  <si>
    <t>859975020417</t>
  </si>
  <si>
    <t>https://m.media-amazon.com/images/I/61CYpCP8TVL._AC_SY879_.jpg</t>
  </si>
  <si>
    <t>https://m.media-amazon.com/images/I/71zKe5PrDzL._AC_SX679_.jpg</t>
  </si>
  <si>
    <t>https://m.media-amazon.com/images/I/81NVQ1FGw-L._AC_SX679_.jpg</t>
  </si>
  <si>
    <t>https://m.media-amazon.com/images/I/81uAcqTVQSL._AC_SX679_.jpg</t>
  </si>
  <si>
    <t>MASK SHEET DEEP HYDRATE</t>
  </si>
  <si>
    <t>850018119239</t>
  </si>
  <si>
    <t>https://target.scene7.com/is/image/Target/GUEST_8506a0e4-b80c-4b33-83de-a6170c1c1846?wid=1200&amp;hei=1200&amp;qlt=80</t>
  </si>
  <si>
    <t>https://target.scene7.com/is/image/Target/GUEST_1308a2d0-9f3e-4fcc-a1e7-5d03a0505112?wid=800&amp;hei=800&amp;qlt=80</t>
  </si>
  <si>
    <t>MASK SHEET PURE PORE</t>
  </si>
  <si>
    <t>859975020424</t>
  </si>
  <si>
    <t>https://m.media-amazon.com/images/I/81wROM2LNrS._SY879_.jpg</t>
  </si>
  <si>
    <t>https://m.media-amazon.com/images/I/71ow1D6px9L._SX679_.jpg</t>
  </si>
  <si>
    <t>https://m.media-amazon.com/images/I/71+DVvQ0tFL._SX679_.jpg</t>
  </si>
  <si>
    <t>https://m.media-amazon.com/images/I/81SJXA85glS._SX679_.jpg</t>
  </si>
  <si>
    <t>MASK SHEET SOOTHE &amp;SMOOTH</t>
  </si>
  <si>
    <t>850018119321</t>
  </si>
  <si>
    <t>https://m.media-amazon.com/images/I/81e9jLFx5wL._AC_SY879_.jpg</t>
  </si>
  <si>
    <t>https://m.media-amazon.com/images/I/81LbsmjZiIL._AC_SY879_.jpg</t>
  </si>
  <si>
    <t>MENS FACE WASH</t>
  </si>
  <si>
    <t>856932007354</t>
  </si>
  <si>
    <t>https://www.vitacost.com/Images/Products/500/Andalou-Naturals/Andalou-Naturals-MEN-Refreshing-Face-Wash-856932007354.jpg</t>
  </si>
  <si>
    <t>https://m.media-amazon.com/images/I/610ZqhBubSL._SX679_.jpg</t>
  </si>
  <si>
    <t>MENS SHAVE CREAM</t>
  </si>
  <si>
    <t>856932007361</t>
  </si>
  <si>
    <t>https://www.vitacost.com/Images/Products/500/Andalou-Naturals/Andalou-Naturals-MEN-Smooth-Glide-Shave-Cream-856932007361.jpg</t>
  </si>
  <si>
    <t>https://m.media-amazon.com/images/I/61j7KruXtNL._SY879_.jpg</t>
  </si>
  <si>
    <t>SENSITIVE 2IN1 SERUM</t>
  </si>
  <si>
    <t>850018119375</t>
  </si>
  <si>
    <t>https://www.kroger.com/product/images/thumbnail/front/0085997502005</t>
  </si>
  <si>
    <t>https://www.kroger.com/product/images/thumbnail/right/0085997502005</t>
  </si>
  <si>
    <t>SENSITIVE BALANCING TONER</t>
  </si>
  <si>
    <t>850018119436</t>
  </si>
  <si>
    <t>https://cloudinary.images-iherb.com/image/upload/f_auto,q_auto:eco/images/adn/adn11943/l/37.jpg</t>
  </si>
  <si>
    <t>https://cloudinary.images-iherb.com/image/upload/f_auto,q_auto:eco/images/adn/adn11943/l/38.jpg</t>
  </si>
  <si>
    <t>https://cloudinary.images-iherb.com/image/upload/f_auto,q_auto:eco/images/adn/adn11943/l/39.jpg</t>
  </si>
  <si>
    <t>SENSITIVE BEAUTY DAYCREAM</t>
  </si>
  <si>
    <t>850018119405</t>
  </si>
  <si>
    <t>https://cloudinary.images-iherb.com/image/upload/f_auto,q_auto:eco/images/adn/adn11940/v/11.jpg</t>
  </si>
  <si>
    <t>https://cloudinary.images-iherb.com/image/upload/f_auto,q_auto:eco/images/adn/adn11940/l/15.jpg</t>
  </si>
  <si>
    <t>https://cloudinary.images-iherb.com/image/upload/f_auto,q_auto:eco/images/adn/adn11940/l/18.jpg</t>
  </si>
  <si>
    <t>https://cloudinary.images-iherb.com/image/upload/f_auto,q_auto:eco/images/adn/adn11940/l/12.jpg</t>
  </si>
  <si>
    <t>SENSITIVE BIOME D SPF30</t>
  </si>
  <si>
    <t>850018119627</t>
  </si>
  <si>
    <t>https://cloudinary.images-iherb.com/image/upload/f_auto,q_auto:eco/images/adn/adn11962/v/18.jpg</t>
  </si>
  <si>
    <t>https://cloudinary.images-iherb.com/image/upload/f_auto,q_auto:eco/images/adn/adn11962/l/11.jpg</t>
  </si>
  <si>
    <t>https://cloudinary.images-iherb.com/image/upload/f_auto,q_auto:eco/images/adn/adn11962/l/19.jpg</t>
  </si>
  <si>
    <t>SENSITIVE CC COLOR+NUDE</t>
  </si>
  <si>
    <t>859975020106</t>
  </si>
  <si>
    <t>https://cloudinary.images-iherb.com/image/upload/f_auto,q_auto:eco/images/adn/adn02010/v/65.jpg</t>
  </si>
  <si>
    <t>https://cloudinary.images-iherb.com/image/upload/f_auto,q_auto:eco/images/adn/adn02010/l/66.jpg</t>
  </si>
  <si>
    <t>https://cloudinary.images-iherb.com/image/upload/f_auto,q_auto:eco/images/adn/adn02010/r/67.jpg</t>
  </si>
  <si>
    <t>SENSITIVE CC COLOR+TAN</t>
  </si>
  <si>
    <t>859975020113</t>
  </si>
  <si>
    <t>https://cloudinary.images-iherb.com/image/upload/f_auto,q_auto:eco/images/adn/adn02011/v/83.jpg</t>
  </si>
  <si>
    <t>https://cloudinary.images-iherb.com/image/upload/f_auto,q_auto:eco/images/adn/adn02011/l/84.jpg</t>
  </si>
  <si>
    <t>https://cloudinary.images-iherb.com/image/upload/f_auto,q_auto:eco/images/adn/adn02011/l/85.jpg</t>
  </si>
  <si>
    <t>SENSITIVE FACE LOTION</t>
  </si>
  <si>
    <t>859975020083</t>
  </si>
  <si>
    <t>https://cloudinary.images-iherb.com/image/upload/f_auto,q_auto:eco/images/adn/adn02008/v/62.jpg</t>
  </si>
  <si>
    <t>https://cloudinary.images-iherb.com/image/upload/f_auto,q_auto:eco/images/adn/adn02008/l/63.jpg</t>
  </si>
  <si>
    <t>https://cloudinary.images-iherb.com/image/upload/f_auto,q_auto:eco/images/adn/adn02008/l/64.jpg</t>
  </si>
  <si>
    <t>SENSITIVE HVN NIGHT CREAM</t>
  </si>
  <si>
    <t>850018119443</t>
  </si>
  <si>
    <t>https://cloudinary.images-iherb.com/image/upload/f_auto,q_auto:eco/images/adn/adn11944/v/25.jpg</t>
  </si>
  <si>
    <t>https://cloudinary.images-iherb.com/image/upload/f_auto,q_auto:eco/images/adn/adn11944/l/15.jpg</t>
  </si>
  <si>
    <t>https://cloudinary.images-iherb.com/image/upload/f_auto,q_auto:eco/images/adn/adn11944/l/18.jpg</t>
  </si>
  <si>
    <t>https://cloudinary.images-iherb.com/image/upload/f_auto,q_auto:eco/images/adn/adn11944/r/12.jpg</t>
  </si>
  <si>
    <t>SENSITIVE MULTI-USE OIL</t>
  </si>
  <si>
    <t>850018119382</t>
  </si>
  <si>
    <t>https://m.media-amazon.com/images/I/61j6-qVAfLL._SX679_.jpg</t>
  </si>
  <si>
    <t>https://m.media-amazon.com/images/I/71ZU5AnewaL._SX679_.jpg</t>
  </si>
  <si>
    <t>https://m.media-amazon.com/images/I/71cUZHmhVlL._SX679_.jpg</t>
  </si>
  <si>
    <t>https://m.media-amazon.com/images/I/71fT51ZaeyL._SX679_.jpg</t>
  </si>
  <si>
    <t>SHAMP 1000 ROSES</t>
  </si>
  <si>
    <t>859975020649</t>
  </si>
  <si>
    <t>https://cloudinary.images-iherb.com/image/upload/f_auto,q_auto:eco/images/adn/adn02064/v/25.jpg</t>
  </si>
  <si>
    <t>https://cloudinary.images-iherb.com/image/upload/f_auto,q_auto:eco/images/adn/adn02064/l/29.jpg</t>
  </si>
  <si>
    <t>SHAMP AGE DEFY STEM CELL</t>
  </si>
  <si>
    <t>859975020816</t>
  </si>
  <si>
    <t>SHAMP ARGAN &amp; SHEA MOISTR</t>
  </si>
  <si>
    <t>859975020793</t>
  </si>
  <si>
    <t>https://cloudinary.images-iherb.com/image/upload/f_auto,q_auto:eco/images/adn/adn02079/l/12.jpg</t>
  </si>
  <si>
    <t>https://cloudinary.images-iherb.com/image/upload/f_auto,q_auto:eco/images/adn/adn02079/l/16.jpg</t>
  </si>
  <si>
    <t>SHAMP ARGAN&amp;ORNG MOISTURE</t>
  </si>
  <si>
    <t>859975002034</t>
  </si>
  <si>
    <t>https://cloudinary.images-iherb.com/image/upload/f_auto,q_auto:eco/images/adn/adn00203/l/64.jpg</t>
  </si>
  <si>
    <t>https://cloudinary.images-iherb.com/image/upload/f_auto,q_auto:eco/images/adn/adn00203/l/68.jpg</t>
  </si>
  <si>
    <t>SHAMP LAV BIOTIN VOLUME</t>
  </si>
  <si>
    <t>859975002010</t>
  </si>
  <si>
    <t>https://cloudinary.images-iherb.com/image/upload/f_auto,q_auto:eco/images/adn/adn00201/v/35.jpg</t>
  </si>
  <si>
    <t>https://cloudinary.images-iherb.com/image/upload/f_auto,q_auto:eco/images/adn/adn00201/l/39.jpg</t>
  </si>
  <si>
    <t>SHAMP MARULA OIL</t>
  </si>
  <si>
    <t>859975020687</t>
  </si>
  <si>
    <t>https://cloudinary.images-iherb.com/image/upload/f_auto,q_auto:eco/images/adn/adn02068/v/37.jpg</t>
  </si>
  <si>
    <t>https://cloudinary.images-iherb.com/image/upload/f_auto,q_auto:eco/images/adn/adn02068/l/41.jpg</t>
  </si>
  <si>
    <t>SHAMP SUNFLOWER SHNE</t>
  </si>
  <si>
    <t>859975002027</t>
  </si>
  <si>
    <t>https://cloudinary.images-iherb.com/image/upload/f_auto,q_auto:eco/images/adn/adn00202/l/38.jpg</t>
  </si>
  <si>
    <t>https://cloudinary.images-iherb.com/image/upload/f_auto,q_auto:eco/images/adn/adn00202/l/42.jpg</t>
  </si>
  <si>
    <t>SHOWER GEL CANNA HARMONY</t>
  </si>
  <si>
    <t>856932007255</t>
  </si>
  <si>
    <t>https://m.media-amazon.com/images/I/41Ex7c+N6JL._SX679_.jpg</t>
  </si>
  <si>
    <t>https://m.media-amazon.com/images/I/41+er3mAhIL._SX679_.jpg</t>
  </si>
  <si>
    <t>SHOWER GEL CANNA RITUAL</t>
  </si>
  <si>
    <t>856932007262</t>
  </si>
  <si>
    <t>https://www.vitacost.com/Images/Products/500/Andalou-Naturals/Andalou-Naturals-CannaCell-Botanical-Shower-Gel-RITUAL-856932007262.jpg</t>
  </si>
  <si>
    <t>https://m.media-amazon.com/images/I/61h4uX00CWL._SY879_.jpg</t>
  </si>
  <si>
    <t>SHOWER GEL CITRUS VERBENA</t>
  </si>
  <si>
    <t>859975020212</t>
  </si>
  <si>
    <t>https://www.vitacost.com/Images/Products/500/Andalou-Naturals/Andalou-Naturals-Uplifting-Shower-Gel-Citrus-Sunflower-859975020212.jpg</t>
  </si>
  <si>
    <t>SHOWER GEL DEEP HYDRATE</t>
  </si>
  <si>
    <t>850018119795</t>
  </si>
  <si>
    <t>https://cloudinary.images-iherb.com/image/upload/f_auto,q_auto:eco/images/adn/adn11979/v/24.jpg</t>
  </si>
  <si>
    <t>https://cloudinary.images-iherb.com/image/upload/f_auto,q_auto:eco/images/adn/adn11979/l/28.jpg</t>
  </si>
  <si>
    <t>SHOWER GEL GRAPEFRUIT</t>
  </si>
  <si>
    <t>850018119849</t>
  </si>
  <si>
    <t>https://cloudinary.images-iherb.com/image/upload/f_auto,q_auto:eco/images/adn/adn11984/v/8.jpg</t>
  </si>
  <si>
    <t>https://cloudinary.images-iherb.com/image/upload/f_auto,q_auto:eco/images/adn/adn11984/l/12.jpg</t>
  </si>
  <si>
    <t>SHOWER GEL MANDARIN VAN</t>
  </si>
  <si>
    <t>859975020229</t>
  </si>
  <si>
    <t>https://www.vitacost.com/Images/Products/500/Andalou-Naturals/Andalou-Naturals-Vitalizing-Shower-Gel-Mandarin-Vanilla-859975020229.jpg</t>
  </si>
  <si>
    <t>https://m.media-amazon.com/images/I/61gHrQ385yL._SX679_.jpg</t>
  </si>
  <si>
    <t>https://m.media-amazon.com/images/I/81sTaiMjFnL._SX679_.jpg</t>
  </si>
  <si>
    <t>SHOWER GEL REFRESHING</t>
  </si>
  <si>
    <t>856932007798</t>
  </si>
  <si>
    <t>https://www.instacart.com/assets/domains/product-image/file/large_3f0b1000-0644-4c23-baa4-ef5a46fda3bc.png</t>
  </si>
  <si>
    <t>https://www.instacart.com/assets/domains/product-image/file/large_c87a338e-5df9-43da-b943-0d70c9876572.png</t>
  </si>
  <si>
    <t>SHOWER GEL ROSE SENSITIVE</t>
  </si>
  <si>
    <t>859975020250</t>
  </si>
  <si>
    <t>https://cloudinary.images-iherb.com/image/upload/f_auto,q_auto:eco/images/adn/adn02025/v/53.jpg</t>
  </si>
  <si>
    <t>https://cloudinary.images-iherb.com/image/upload/f_auto,q_auto:eco/images/adn/adn02025/l/57.jpg</t>
  </si>
  <si>
    <t>STYLING CREAM SMOOTH HOLD</t>
  </si>
  <si>
    <t>6.8OZ</t>
  </si>
  <si>
    <t>859975002102</t>
  </si>
  <si>
    <t>https://cloudinary.images-iherb.com/image/upload/f_auto,q_auto:eco/images/adn/adn00210/v/34.jpg</t>
  </si>
  <si>
    <t>https://cloudinary.images-iherb.com/image/upload/f_auto,q_auto:eco/images/adn/adn00210/l/38.jpg</t>
  </si>
  <si>
    <t>STYLING SPRAY PERFCT HOLD</t>
  </si>
  <si>
    <t>8.2OZ</t>
  </si>
  <si>
    <t>859975002089</t>
  </si>
  <si>
    <t>https://cloudinary.images-iherb.com/image/upload/f_auto,q_auto:eco/images/adn/adn00208/v/60.jpg</t>
  </si>
  <si>
    <t>https://cloudinary.images-iherb.com/image/upload/f_auto,q_auto:eco/images/adn/adn00208/l/64.jpg</t>
  </si>
  <si>
    <t>THIN HAIR TRMNT SYSTEM</t>
  </si>
  <si>
    <t>3PC KIT</t>
  </si>
  <si>
    <t>859975002416</t>
  </si>
  <si>
    <t>https://www.vitacost.com/Images/Products/500/Andalou-Naturals/Andalou-Naturals-Age-Defying-Argan-Stem-Cell-3-Step-System-Kit-859975002416.jpg</t>
  </si>
  <si>
    <t>https://m.media-amazon.com/images/I/61-rL6jv6WL._SX679_.jpg</t>
  </si>
  <si>
    <t>https://m.media-amazon.com/images/I/71LqrWUmGsL._SY879_.jpg</t>
  </si>
  <si>
    <t>THIN HAIR TRTMNT CONDTONR</t>
  </si>
  <si>
    <t>859975002393</t>
  </si>
  <si>
    <t>https://cloudinary.images-iherb.com/image/upload/f_auto,q_auto:eco/images/adn/adn00239/v/32.jpg</t>
  </si>
  <si>
    <t>https://cloudinary.images-iherb.com/image/upload/f_auto,q_auto:eco/images/adn/adn00239/l/36.jpg</t>
  </si>
  <si>
    <t>ANDEAN DREAM</t>
  </si>
  <si>
    <t>COOKIES QUINOA CHOC CHP</t>
  </si>
  <si>
    <t>7OZ</t>
  </si>
  <si>
    <t>893470001024</t>
  </si>
  <si>
    <t>https://m.media-amazon.com/images/I/A1P7niOE+tL._SY879_.jpg</t>
  </si>
  <si>
    <t>https://m.media-amazon.com/images/I/91j00RusmkL._SY879_.jpg</t>
  </si>
  <si>
    <t>https://m.media-amazon.com/images/I/814XFwhJ2lL._SY879_.jpg</t>
  </si>
  <si>
    <t>https://m.media-amazon.com/images/I/71eUvJlnhgL._SX679_.jpg</t>
  </si>
  <si>
    <t>PASTA FUSILLI QUINOA GF</t>
  </si>
  <si>
    <t>893470001222</t>
  </si>
  <si>
    <t>https://m.media-amazon.com/images/I/81NvsHK94CL._SX679_.jpg</t>
  </si>
  <si>
    <t>https://m.media-amazon.com/images/I/91GoNCSn5kL._SY879_.jpg</t>
  </si>
  <si>
    <t>https://m.media-amazon.com/images/I/81M82hXcf8L._SY879_.jpg</t>
  </si>
  <si>
    <t>PASTA LINGUINE</t>
  </si>
  <si>
    <t>893470001185</t>
  </si>
  <si>
    <t>https://images.cdn.shoprite.com/detail/00893470001208_1</t>
  </si>
  <si>
    <t>https://storage.googleapis.com/images-prs-prd-c7e7986.prs.prd.v8.commerce.mi9cloud.com/product-images/detail/00893470001208_20</t>
  </si>
  <si>
    <t>PASTA MACARONI QUINOA GF</t>
  </si>
  <si>
    <t>893470001246</t>
  </si>
  <si>
    <t>https://m.media-amazon.com/images/I/917X+Skrq6L._SY879_.jpg</t>
  </si>
  <si>
    <t>https://m.media-amazon.com/images/I/A1NU4FvaEAL._SY879_.jpg</t>
  </si>
  <si>
    <t>https://m.media-amazon.com/images/I/71OSMIuxceL._SY879_.jpg</t>
  </si>
  <si>
    <t>https://m.media-amazon.com/images/I/51ZNvRM13GL._SX679_.jpg</t>
  </si>
  <si>
    <t>PASTA ORZO QUINOA GF</t>
  </si>
  <si>
    <t>893470001604</t>
  </si>
  <si>
    <t>https://www.andeandream.com/assets/images/pasta-orzo.png</t>
  </si>
  <si>
    <t>PASTA PENNE W/TURMERIC</t>
  </si>
  <si>
    <t>893470001758</t>
  </si>
  <si>
    <t>https://www.andeandream.com/assets/images/turmeric-1.png</t>
  </si>
  <si>
    <t>https://eatandeandream.com/cdn/shop/files/turmeric-penne-back_1024x1024@2x.jpg?v=1721414527</t>
  </si>
  <si>
    <t>https://eatandeandream.com/cdn/shop/files/turmeric-penne-nutrition_1024x1024@2x.jpg?v=1721414528</t>
  </si>
  <si>
    <t>https://eatandeandream.com/cdn/shop/products/Organic-Turmeric_1024x1024@2x.jpg?v=1721414917</t>
  </si>
  <si>
    <t>PASTA SHELLS QUINOA GF</t>
  </si>
  <si>
    <t>893470001369</t>
  </si>
  <si>
    <t>https://www.andeandream.com/assets/images/pasta-shells.png</t>
  </si>
  <si>
    <t>PASTA SPAGHETTI QUINOA GF</t>
  </si>
  <si>
    <t>893470001208</t>
  </si>
  <si>
    <t>https://www.andeandream.com/assets/images/pasta-1-06.png</t>
  </si>
  <si>
    <t>https://eatandeandream.com/cdn/shop/files/spaghetti-back_1024x1024@2x.jpg?v=1721414527</t>
  </si>
  <si>
    <t>https://eatandeandream.com/cdn/shop/products/pasta-img-1-06_110x110@2x.jpg?v=1721414810</t>
  </si>
  <si>
    <t>PASTA SPAGHETTI W/TURMERC</t>
  </si>
  <si>
    <t>893470001857</t>
  </si>
  <si>
    <t>https://www.andeandream.com/assets/images/turmeric-spaghetti-1.png</t>
  </si>
  <si>
    <t>https://eatandeandream.com/cdn/shop/files/turmeric-spaghetti-back_1024x1024@2x.jpg?v=1721414527</t>
  </si>
  <si>
    <t>https://eatandeandream.com/cdn/shop/products/bulk-turmeric-spaghetti_1024x1024@2x.jpg?v=1721414837</t>
  </si>
  <si>
    <t>APIHAUS</t>
  </si>
  <si>
    <t>BEE POLLEN 500MG</t>
  </si>
  <si>
    <t>90VC</t>
  </si>
  <si>
    <t>850582004619</t>
  </si>
  <si>
    <t>https://alpinepeaksmt.com/cdn/shop/files/beepollen500mg90-1.webp?v=1739106589&amp;width=1646</t>
  </si>
  <si>
    <t>https://alpinepeaksmt.com/cdn/shop/files/bee_pollen_500mg_90_-_2.webp?v=1739042869&amp;width=1646</t>
  </si>
  <si>
    <t>https://alpinepeaksmt.com/cdn/shop/files/bee_pollen_500mg_90_-_3.webp?v=1739042877&amp;width=1646</t>
  </si>
  <si>
    <t>BEE POLLEN GRANULES GLASS</t>
  </si>
  <si>
    <t>850582004633</t>
  </si>
  <si>
    <t>https://honeyshoppe.com/cdn/shop/files/POLLENGRANULES_720x.jpg?v=1705895929</t>
  </si>
  <si>
    <t>https://honeyshoppe.com/cdn/shop/products/91moTxDBYTL._SY679_960x.jpg?v=1705895929</t>
  </si>
  <si>
    <t>https://honeyshoppe.com/cdn/shop/products/20200509_221959_1_960x.jpg?v=1705895929</t>
  </si>
  <si>
    <t>BEE POLLEN GRANULES POUCH</t>
  </si>
  <si>
    <t>1LB</t>
  </si>
  <si>
    <t>850582004930</t>
  </si>
  <si>
    <t>https://alpinepeaksmt.com/cdn/shop/files/BeePollen1.webp?v=1737991007&amp;width=1646</t>
  </si>
  <si>
    <t>https://alpinepeaksmt.com/cdn/shop/files/Bee_Pollen_2.webp?v=1737990794&amp;width=1646</t>
  </si>
  <si>
    <t>KIDS GUMMIES RASPBERRY</t>
  </si>
  <si>
    <t>850582004220</t>
  </si>
  <si>
    <t>LOZENGES ASSORTED H&amp;P</t>
  </si>
  <si>
    <t>20LZ</t>
  </si>
  <si>
    <t>850582004916</t>
  </si>
  <si>
    <t>https://alpinepeaksmt.com/cdn/shop/files/HoneyandPropolisLozengers-AssortedFlavors1.webp?v=1737986293&amp;width=1646</t>
  </si>
  <si>
    <t>https://alpinepeaksmt.com/cdn/shop/files/Honey_and_Propolis_-_Assorted_Flavors_2.webp?v=1737986184&amp;width=1646</t>
  </si>
  <si>
    <t>LOZENGES EUCALYPTUS H&amp;P</t>
  </si>
  <si>
    <t>850582004084</t>
  </si>
  <si>
    <t>https://alpinepeaksmt.com/cdn/shop/files/Honey_and_Propolis_Lozengers_-_Eucalyptus.webp?v=1737987808&amp;width=1646</t>
  </si>
  <si>
    <t>LOZENGES EUCALYPTUS M&amp;P</t>
  </si>
  <si>
    <t>850582004893</t>
  </si>
  <si>
    <t>https://honeyshoppe.com/cdn/shop/files/ManukaPouch_720x.jpg?v=1699049945</t>
  </si>
  <si>
    <t>https://honeyshoppe.com/cdn/shop/files/manukapouchback_960x.png?v=1699066729</t>
  </si>
  <si>
    <t>LOZENGES LEMON H&amp;P</t>
  </si>
  <si>
    <t>850582004077</t>
  </si>
  <si>
    <t>https://m.media-amazon.com/images/I/7113q35eAdL._AC_SX679_.jpg</t>
  </si>
  <si>
    <t>https://m.media-amazon.com/images/I/71uEWScFwFL._AC_SX679_.jpg</t>
  </si>
  <si>
    <t>LOZENGES ORANGE H&amp;P</t>
  </si>
  <si>
    <t>850582004060</t>
  </si>
  <si>
    <t>https://m.media-amazon.com/images/I/71OX4n+jGxL._AC_SX679_.jpg</t>
  </si>
  <si>
    <t>https://m.media-amazon.com/images/I/710onz8CJJL._AC_SX679_.jpg</t>
  </si>
  <si>
    <t>NASAL SPRY PROPOLIS&amp;SSALT</t>
  </si>
  <si>
    <t>850582004039</t>
  </si>
  <si>
    <t>https://honeyshoppe.com/cdn/shop/files/PropolisNasalSpray_720x.png?v=1705893971</t>
  </si>
  <si>
    <t>https://honeyshoppe.com/cdn/shop/files/PropolisNasalSpraySupplement_960x.png?v=1705893971</t>
  </si>
  <si>
    <t>https://honeyshoppe.com/cdn/shop/files/PropolisNasalSprayLeft_1024x1024.png?v=1705893971</t>
  </si>
  <si>
    <t>PROPOLIS STANDARD 1000MG</t>
  </si>
  <si>
    <t>850582004572</t>
  </si>
  <si>
    <t>https://alpinepeaksmt.com/cdn/shop/files/propolis1000mg1.webp?v=1739106699&amp;width=1646</t>
  </si>
  <si>
    <t>https://alpinepeaksmt.com/cdn/shop/files/propolis_1000mg_2.webp?v=1739043711&amp;width=1646</t>
  </si>
  <si>
    <t>https://alpinepeaksmt.com/cdn/shop/files/propolis_1000mg_3.webp?v=1739043717&amp;width=1646</t>
  </si>
  <si>
    <t>PROPOLIS STANDARD 500MG</t>
  </si>
  <si>
    <t>850582004602</t>
  </si>
  <si>
    <t>https://www.koshervitamins.com/images/images_101/pictures/propolis(2).png</t>
  </si>
  <si>
    <t>PROPOLIS TINCTURE 25%</t>
  </si>
  <si>
    <t>850582004558</t>
  </si>
  <si>
    <t>https://honeyshoppe.com/cdn/shop/files/PropolisExtract25_720x.png?v=1705894014</t>
  </si>
  <si>
    <t>https://honeyshoppe.com/cdn/shop/files/PropolisExtract25_Supplement_960x.png?v=1705894014</t>
  </si>
  <si>
    <t>https://honeyshoppe.com/cdn/shop/files/PropolisExtract25_Left_1024x1024.png?v=1705894014</t>
  </si>
  <si>
    <t>PROPOLIS TINCTURE 50%</t>
  </si>
  <si>
    <t>850582004541</t>
  </si>
  <si>
    <t>https://honeyshoppe.com/cdn/shop/files/PropolisExtract50_720x.png?v=1705894052</t>
  </si>
  <si>
    <t>https://honeyshoppe.com/cdn/shop/files/PropolisExtract50_Supplement_960x.png?v=1705894052</t>
  </si>
  <si>
    <t>https://honeyshoppe.com/cdn/shop/files/PropolisExtract50_Left_960x.png?v=1705894052</t>
  </si>
  <si>
    <t>PROPOLIS TINCTURE 65%</t>
  </si>
  <si>
    <t>850582004961</t>
  </si>
  <si>
    <t>https://honeyshoppe.com/cdn/shop/files/PROPOLIS65_720x.png?v=1705894141</t>
  </si>
  <si>
    <t>https://honeyshoppe.com/cdn/shop/files/PROPOLIS65_SUPPLEMENT_960x.png?v=1705894141</t>
  </si>
  <si>
    <t>https://honeyshoppe.com/cdn/shop/files/PROPOLIS65_LEFT_960x.png?v=1705894141</t>
  </si>
  <si>
    <t>PROPOLIS TINCTURE ALC FRE</t>
  </si>
  <si>
    <t>850582004527</t>
  </si>
  <si>
    <t>https://honeyshoppe.com/cdn/shop/files/AF_720x.png?v=1705894089</t>
  </si>
  <si>
    <t>https://honeyshoppe.com/cdn/shop/files/AFSUPPLEMENT_960x.png?v=1705894089</t>
  </si>
  <si>
    <t>https://honeyshoppe.com/cdn/shop/files/AFLEFT_960x.png?v=1705894089</t>
  </si>
  <si>
    <t>THROAT SPRY MANUKA HONEY</t>
  </si>
  <si>
    <t>850582004879</t>
  </si>
  <si>
    <t>https://honeyshoppe.com/cdn/shop/files/PropolisManukaSpray_720x.png?v=1705893816</t>
  </si>
  <si>
    <t>https://honeyshoppe.com/cdn/shop/files/PropolisManukaSprayLeft_960x.png?v=1705893816</t>
  </si>
  <si>
    <t>https://honeyshoppe.com/cdn/shop/files/PropolisManukaSpraySupplement_960x.png?v=1705893816</t>
  </si>
  <si>
    <t>THROAT SPRY PROPOLIS AF</t>
  </si>
  <si>
    <t>850582004251</t>
  </si>
  <si>
    <t>https://honeyshoppe.com/cdn/shop/files/PropolisSpray_720x.png?v=1709167437</t>
  </si>
  <si>
    <t>https://honeyshoppe.com/cdn/shop/files/PropolisSprayLeft_720x.png?v=1709167437</t>
  </si>
  <si>
    <t>https://honeyshoppe.com/cdn/shop/files/PropolisSpraySupplement_960x.png?v=1709167437</t>
  </si>
  <si>
    <t>THROAT SPRY PROPOLIS&amp;HERB</t>
  </si>
  <si>
    <t>850582004534</t>
  </si>
  <si>
    <t>https://honeyshoppe.com/cdn/shop/files/PropolisThroatSpraywithHerbs_720x.png?v=1705893927</t>
  </si>
  <si>
    <t>https://honeyshoppe.com/cdn/shop/files/PropolisThroatSpraywithHerbsSupplement_960x.png?v=1705893927</t>
  </si>
  <si>
    <t>https://honeyshoppe.com/cdn/shop/files/PropolisThroatSpraywithHerbsLeft_960x.png?v=1705893927</t>
  </si>
  <si>
    <t>healthywaze.com</t>
  </si>
  <si>
    <t>Profit</t>
  </si>
  <si>
    <t>Fixed add on (.20 of profit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</si>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</sst>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2" fontId="3" fillId="0" borderId="1" xfId="0" applyNumberFormat="1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0" fillId="2" borderId="0" xfId="0" applyNumberFormat="1" applyFill="1"/>
    <xf numFmtId="49" fontId="0" fillId="0" borderId="0" xfId="0" applyNumberFormat="1"/>
    <xf numFmtId="2" fontId="4" fillId="0" borderId="0" xfId="0" applyNumberFormat="1" applyFont="1"/>
    <xf numFmtId="0" fontId="2" fillId="0" borderId="2" xfId="1" applyBorder="1" applyAlignment="1">
      <alignment vertical="center"/>
    </xf>
    <xf numFmtId="0" fontId="2" fillId="0" borderId="5" xfId="1" applyBorder="1" applyAlignment="1">
      <alignment vertical="center"/>
    </xf>
    <xf numFmtId="0" fontId="2" fillId="0" borderId="4" xfId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2" xfId="1" applyBorder="1" applyAlignment="1">
      <alignment horizontal="center" vertical="center"/>
    </xf>
    <xf numFmtId="0" fontId="0" fillId="0" borderId="2" xfId="0" applyBorder="1" applyAlignment="1">
      <alignment vertical="center"/>
    </xf>
    <xf numFmtId="49" fontId="0" fillId="3" borderId="0" xfId="0" applyNumberFormat="1" applyFill="1"/>
    <xf numFmtId="2" fontId="0" fillId="0" borderId="0" xfId="0" applyNumberFormat="1"/>
    <xf numFmtId="10" fontId="4" fillId="0" borderId="0" xfId="0" applyNumberFormat="1" applyFont="1"/>
    <xf numFmtId="164" fontId="4" fillId="0" borderId="0" xfId="0" applyNumberFormat="1" applyFont="1"/>
  </cellXfs>
  <cellStyles count="2">
    <cellStyle name="Hyperlink" xfId="1" builtinId="8"/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oudinary.images-iherb.com/image/upload/f_auto,q_auto:eco/images/alt/alt05042/l/35.jpg" TargetMode="External"/><Relationship Id="rId299" Type="http://schemas.openxmlformats.org/officeDocument/2006/relationships/hyperlink" Target="https://cloudinary.images-iherb.com/image/upload/f_auto,q_auto:eco/images/adn/adn11980/l/12.jpg" TargetMode="External"/><Relationship Id="rId21" Type="http://schemas.openxmlformats.org/officeDocument/2006/relationships/hyperlink" Target="https://cloudinary.images-iherb.com/image/upload/f_auto,q_auto:eco/images/abn/abn08847/l/63.jpg" TargetMode="External"/><Relationship Id="rId63" Type="http://schemas.openxmlformats.org/officeDocument/2006/relationships/hyperlink" Target="https://s38167.pcdn.co/wp-content/uploads/2023/02/Alba-Botanica-Hawaiian-Island-Vibe-SPF50-Sunscreen-Lotion-3oz-Back-Render.png" TargetMode="External"/><Relationship Id="rId159" Type="http://schemas.openxmlformats.org/officeDocument/2006/relationships/hyperlink" Target="https://cloudinary.images-iherb.com/image/upload/f_auto,q_auto:eco/images/adn/adn00249/l/78.jpg" TargetMode="External"/><Relationship Id="rId324" Type="http://schemas.openxmlformats.org/officeDocument/2006/relationships/hyperlink" Target="https://cloudinary.images-iherb.com/image/upload/f_auto,q_auto:eco/images/adn/adn11943/l/39.jpg" TargetMode="External"/><Relationship Id="rId366" Type="http://schemas.openxmlformats.org/officeDocument/2006/relationships/hyperlink" Target="https://cloudinary.images-iherb.com/image/upload/f_auto,q_auto:eco/images/adn/adn11979/l/28.jpg" TargetMode="External"/><Relationship Id="rId170" Type="http://schemas.openxmlformats.org/officeDocument/2006/relationships/hyperlink" Target="https://cloudinary.images-iherb.com/image/upload/f_auto,q_auto:eco/images/adn/adn00231/l/74.jpg" TargetMode="External"/><Relationship Id="rId226" Type="http://schemas.openxmlformats.org/officeDocument/2006/relationships/hyperlink" Target="https://m.media-amazon.com/images/I/517IqOXrANL._SY879_.jpg" TargetMode="External"/><Relationship Id="rId433" Type="http://schemas.openxmlformats.org/officeDocument/2006/relationships/hyperlink" Target="https://honeyshoppe.com/cdn/shop/files/PropolisExtract50_Left_960x.png?v=1705894052" TargetMode="External"/><Relationship Id="rId268" Type="http://schemas.openxmlformats.org/officeDocument/2006/relationships/hyperlink" Target="https://m.media-amazon.com/images/S/assets.wholefoodsmarket.com/PIE/product/41VhfUy44gL._FMwebp__SR100,100_.jpg" TargetMode="External"/><Relationship Id="rId475" Type="http://schemas.openxmlformats.org/officeDocument/2006/relationships/hyperlink" Target="https://cloudinary.images-iherb.com/image/upload/f_auto,q_auto:eco/images/ahr/ahr13090/v/49.jpg" TargetMode="External"/><Relationship Id="rId32" Type="http://schemas.openxmlformats.org/officeDocument/2006/relationships/hyperlink" Target="https://s38167.pcdn.co/wp-content/uploads/2019/11/daily-oil-free-front.png" TargetMode="External"/><Relationship Id="rId74" Type="http://schemas.openxmlformats.org/officeDocument/2006/relationships/hyperlink" Target="https://s38167.pcdn.co/wp-content/uploads/2023/02/2022_AfterSunGel_4_UPDATE_2_Tube_Front_Render-1.png" TargetMode="External"/><Relationship Id="rId128" Type="http://schemas.openxmlformats.org/officeDocument/2006/relationships/hyperlink" Target="https://cloudinary.images-iherb.com/image/upload/f_auto,q_auto:eco/images/alt/alt01003/r/38.jpg" TargetMode="External"/><Relationship Id="rId335" Type="http://schemas.openxmlformats.org/officeDocument/2006/relationships/hyperlink" Target="https://cloudinary.images-iherb.com/image/upload/f_auto,q_auto:eco/images/adn/adn02011/l/85.jpg" TargetMode="External"/><Relationship Id="rId377" Type="http://schemas.openxmlformats.org/officeDocument/2006/relationships/hyperlink" Target="https://cloudinary.images-iherb.com/image/upload/f_auto,q_auto:eco/images/adn/adn00208/l/64.jpg" TargetMode="External"/><Relationship Id="rId500" Type="http://schemas.openxmlformats.org/officeDocument/2006/relationships/hyperlink" Target="https://cloudinary.images-iherb.com/image/upload/f_auto,q_auto:eco/images/ahr/ahr70046/l/13.jpg" TargetMode="External"/><Relationship Id="rId5" Type="http://schemas.openxmlformats.org/officeDocument/2006/relationships/hyperlink" Target="https://shop.avogel.ca/cdn/shop/files/avogel-herbamare-spicy-organic-herbed-sea-salt-705708_5000x.jpg?v=1749638674" TargetMode="External"/><Relationship Id="rId181" Type="http://schemas.openxmlformats.org/officeDocument/2006/relationships/hyperlink" Target="https://cloudinary.images-iherb.com/image/upload/f_auto,q_auto:eco/images/adn/adn00235/l/36.jpg" TargetMode="External"/><Relationship Id="rId237" Type="http://schemas.openxmlformats.org/officeDocument/2006/relationships/hyperlink" Target="https://cloudinary.images-iherb.com/image/upload/f_auto,q_auto:eco/images/adn/adn00223/l/60.jpg" TargetMode="External"/><Relationship Id="rId402" Type="http://schemas.openxmlformats.org/officeDocument/2006/relationships/hyperlink" Target="https://eatandeandream.com/cdn/shop/files/turmeric-spaghetti-back_1024x1024@2x.jpg?v=1721414527" TargetMode="External"/><Relationship Id="rId279" Type="http://schemas.openxmlformats.org/officeDocument/2006/relationships/hyperlink" Target="https://cloudinary.images-iherb.com/image/upload/f_auto,q_auto:eco/images/adn/adn11931/l/36.jpg" TargetMode="External"/><Relationship Id="rId444" Type="http://schemas.openxmlformats.org/officeDocument/2006/relationships/hyperlink" Target="https://honeyshoppe.com/cdn/shop/files/AFSUPPLEMENT_960x.png?v=1705894089" TargetMode="External"/><Relationship Id="rId486" Type="http://schemas.openxmlformats.org/officeDocument/2006/relationships/hyperlink" Target="https://cloudinary.images-iherb.com/image/upload/f_auto,q_auto:eco/images/ahr/ahr11008/v/12.jpg" TargetMode="External"/><Relationship Id="rId43" Type="http://schemas.openxmlformats.org/officeDocument/2006/relationships/hyperlink" Target="https://s38167.pcdn.co/wp-content/uploads/2019/11/Intense-Hydration-Body-Oil-before-after.png" TargetMode="External"/><Relationship Id="rId139" Type="http://schemas.openxmlformats.org/officeDocument/2006/relationships/hyperlink" Target="https://allterrainco.com/cdn/shop/products/6-08503-05071-5_PoisonIvyOakBar4oz_01_1200x.jpg?v=1622755125" TargetMode="External"/><Relationship Id="rId290" Type="http://schemas.openxmlformats.org/officeDocument/2006/relationships/hyperlink" Target="https://m.media-amazon.com/images/I/71yviK7x3ZL._SX679_.jpg" TargetMode="External"/><Relationship Id="rId304" Type="http://schemas.openxmlformats.org/officeDocument/2006/relationships/hyperlink" Target="https://m.media-amazon.com/images/I/71qCXiuuUaL._SX679_.jpg" TargetMode="External"/><Relationship Id="rId346" Type="http://schemas.openxmlformats.org/officeDocument/2006/relationships/hyperlink" Target="https://m.media-amazon.com/images/I/71cUZHmhVlL._SX679_.jpg" TargetMode="External"/><Relationship Id="rId388" Type="http://schemas.openxmlformats.org/officeDocument/2006/relationships/hyperlink" Target="https://m.media-amazon.com/images/I/81M82hXcf8L._SY879_.jpg" TargetMode="External"/><Relationship Id="rId85" Type="http://schemas.openxmlformats.org/officeDocument/2006/relationships/hyperlink" Target="https://s38167.pcdn.co/wp-content/uploads/2023/02/AL01062_SheerMineral_Lotion_FF_SPF30_Back_Render.png" TargetMode="External"/><Relationship Id="rId150" Type="http://schemas.openxmlformats.org/officeDocument/2006/relationships/hyperlink" Target="https://www.vitacost.com/Images/Products/500/Andalou-Naturals/Andalou-Naturals-BioActive-Berry-Fruit-Enzyme-Mask-859975002256.jpg" TargetMode="External"/><Relationship Id="rId192" Type="http://schemas.openxmlformats.org/officeDocument/2006/relationships/hyperlink" Target="https://www.vitacost.com/Images/Products/500/Andalou-Naturals/Andalou-Naturals-Velvet-Soft-1000-Roses-Body-Butter-859975020267.jpg" TargetMode="External"/><Relationship Id="rId206" Type="http://schemas.openxmlformats.org/officeDocument/2006/relationships/hyperlink" Target="https://cloudinary.images-iherb.com/image/upload/f_auto,q_auto:eco/images/adn/adn00222/l/84.jpg" TargetMode="External"/><Relationship Id="rId413" Type="http://schemas.openxmlformats.org/officeDocument/2006/relationships/hyperlink" Target="https://honeyshoppe.com/cdn/shop/products/91moTxDBYTL._SY679_960x.jpg?v=1705895929" TargetMode="External"/><Relationship Id="rId248" Type="http://schemas.openxmlformats.org/officeDocument/2006/relationships/hyperlink" Target="https://m.media-amazon.com/images/I/71h-Dvj02nL._SY879_.jpg" TargetMode="External"/><Relationship Id="rId455" Type="http://schemas.openxmlformats.org/officeDocument/2006/relationships/hyperlink" Target="https://cloudinary.images-iherb.com/image/upload/f_auto,q_auto:eco/images/ahr/ahr12001/v/18.jpg" TargetMode="External"/><Relationship Id="rId497" Type="http://schemas.openxmlformats.org/officeDocument/2006/relationships/hyperlink" Target="https://cloudinary.images-iherb.com/image/upload/f_auto,q_auto:eco/images/ahr/ahr38006/l/11.jpg" TargetMode="External"/><Relationship Id="rId12" Type="http://schemas.openxmlformats.org/officeDocument/2006/relationships/hyperlink" Target="https://absnutrition.com/cdn/shop/products/DSC_0219_grande.jpg?v=1537468119" TargetMode="External"/><Relationship Id="rId108" Type="http://schemas.openxmlformats.org/officeDocument/2006/relationships/hyperlink" Target="https://www.vitacost.com/Images/Products/500/All-Terrain/All-Terrain-Kids-Bandages-Latex-Free-Non-Stick-Pad-Neon-608503050029.jpg" TargetMode="External"/><Relationship Id="rId315" Type="http://schemas.openxmlformats.org/officeDocument/2006/relationships/hyperlink" Target="https://m.media-amazon.com/images/I/81wROM2LNrS._SY879_.jpg" TargetMode="External"/><Relationship Id="rId357" Type="http://schemas.openxmlformats.org/officeDocument/2006/relationships/hyperlink" Target="https://cloudinary.images-iherb.com/image/upload/f_auto,q_auto:eco/images/adn/adn02068/l/41.jpg" TargetMode="External"/><Relationship Id="rId54" Type="http://schemas.openxmlformats.org/officeDocument/2006/relationships/hyperlink" Target="https://s38167.pcdn.co/wp-content/uploads/2023/02/Alba_HawClear_SPF50_Spray_Front_Render.png" TargetMode="External"/><Relationship Id="rId96" Type="http://schemas.openxmlformats.org/officeDocument/2006/relationships/hyperlink" Target="https://s38167.pcdn.co/wp-content/uploads/2023/02/Alba_Sport_SPF50_Spray_Front_Render-1.png" TargetMode="External"/><Relationship Id="rId161" Type="http://schemas.openxmlformats.org/officeDocument/2006/relationships/hyperlink" Target="https://cloudinary.images-iherb.com/image/upload/f_auto,q_auto:eco/images/adn/adn00233/v/27.jpg" TargetMode="External"/><Relationship Id="rId217" Type="http://schemas.openxmlformats.org/officeDocument/2006/relationships/hyperlink" Target="https://cloudinary.images-iherb.com/image/upload/f_auto,q_auto:eco/images/adn/adn00226/l/74.jpg" TargetMode="External"/><Relationship Id="rId399" Type="http://schemas.openxmlformats.org/officeDocument/2006/relationships/hyperlink" Target="https://eatandeandream.com/cdn/shop/files/turmeric-penne-back_1024x1024@2x.jpg?v=1721414527" TargetMode="External"/><Relationship Id="rId259" Type="http://schemas.openxmlformats.org/officeDocument/2006/relationships/hyperlink" Target="https://cloudinary.images-iherb.com/image/upload/f_auto,q_auto:eco/images/adn/adn02069/v/21.jpg" TargetMode="External"/><Relationship Id="rId424" Type="http://schemas.openxmlformats.org/officeDocument/2006/relationships/hyperlink" Target="https://m.media-amazon.com/images/I/710onz8CJJL._AC_SX679_.jpg" TargetMode="External"/><Relationship Id="rId466" Type="http://schemas.openxmlformats.org/officeDocument/2006/relationships/hyperlink" Target="https://cloudinary.images-iherb.com/image/upload/f_auto,q_auto:eco/images/ahr/ahr09100/v/8.jpg" TargetMode="External"/><Relationship Id="rId23" Type="http://schemas.openxmlformats.org/officeDocument/2006/relationships/hyperlink" Target="https://s38167.pcdn.co/wp-content/uploads/2019/11/Acnedote-Deep-Pore-Wash-back.png" TargetMode="External"/><Relationship Id="rId119" Type="http://schemas.openxmlformats.org/officeDocument/2006/relationships/hyperlink" Target="https://allterrainco.com/cdn/shop/products/6-08503-05244-3_KidsEczemaSoap_3_1200x.jpg?v=1622754865" TargetMode="External"/><Relationship Id="rId270" Type="http://schemas.openxmlformats.org/officeDocument/2006/relationships/hyperlink" Target="https://www.vitacost.com/Images/Products/500/Andalou-Naturals/Andalou-Naturals-Deep-Hydration-Revitalizing-Cleansing-Gel-850018119306.jpg" TargetMode="External"/><Relationship Id="rId326" Type="http://schemas.openxmlformats.org/officeDocument/2006/relationships/hyperlink" Target="https://cloudinary.images-iherb.com/image/upload/f_auto,q_auto:eco/images/adn/adn11940/l/18.jpg" TargetMode="External"/><Relationship Id="rId65" Type="http://schemas.openxmlformats.org/officeDocument/2006/relationships/hyperlink" Target="https://s38167.pcdn.co/wp-content/uploads/2023/02/Alba_HawClear_SPF70_Spray_Back_Render.png" TargetMode="External"/><Relationship Id="rId130" Type="http://schemas.openxmlformats.org/officeDocument/2006/relationships/hyperlink" Target="https://cloudinary.images-iherb.com/image/upload/f_auto,q_auto:eco/images/alt/alt01003/v/34.jpg" TargetMode="External"/><Relationship Id="rId368" Type="http://schemas.openxmlformats.org/officeDocument/2006/relationships/hyperlink" Target="https://cloudinary.images-iherb.com/image/upload/f_auto,q_auto:eco/images/adn/adn11984/l/12.jpg" TargetMode="External"/><Relationship Id="rId172" Type="http://schemas.openxmlformats.org/officeDocument/2006/relationships/hyperlink" Target="https://www.vitacost.com/Images/Products/500/Andalou-Naturals/Andalou-Naturals-Age-Defying-Skin-Food-Nourishing-Mask-Avo-Cocoa-859975002270.jpg" TargetMode="External"/><Relationship Id="rId228" Type="http://schemas.openxmlformats.org/officeDocument/2006/relationships/hyperlink" Target="https://m.media-amazon.com/images/I/715-mFGzRDL._SX679_.jpg" TargetMode="External"/><Relationship Id="rId435" Type="http://schemas.openxmlformats.org/officeDocument/2006/relationships/hyperlink" Target="https://honeyshoppe.com/cdn/shop/files/PropolisExtract50_720x.png?v=1705894052" TargetMode="External"/><Relationship Id="rId477" Type="http://schemas.openxmlformats.org/officeDocument/2006/relationships/hyperlink" Target="https://cloudinary.images-iherb.com/image/upload/f_auto,q_auto:eco/images/ahr/ahr02100/v/33.jpg" TargetMode="External"/><Relationship Id="rId281" Type="http://schemas.openxmlformats.org/officeDocument/2006/relationships/hyperlink" Target="https://m.media-amazon.com/images/I/71IID9RzCCL._SX679_.jpg" TargetMode="External"/><Relationship Id="rId337" Type="http://schemas.openxmlformats.org/officeDocument/2006/relationships/hyperlink" Target="https://cloudinary.images-iherb.com/image/upload/f_auto,q_auto:eco/images/adn/adn02011/v/83.jpg" TargetMode="External"/><Relationship Id="rId502" Type="http://schemas.openxmlformats.org/officeDocument/2006/relationships/hyperlink" Target="https://cloudinary.images-iherb.com/image/upload/f_auto,q_auto:eco/images/ahr/ahr70042/l/9.jpg" TargetMode="External"/><Relationship Id="rId34" Type="http://schemas.openxmlformats.org/officeDocument/2006/relationships/hyperlink" Target="https://s38167.pcdn.co/wp-content/uploads/2019/11/Intense-Hydration-Whipped-Body-Butter-back.jpg" TargetMode="External"/><Relationship Id="rId76" Type="http://schemas.openxmlformats.org/officeDocument/2006/relationships/hyperlink" Target="https://s38167.pcdn.co/wp-content/uploads/2023/02/Alba-Botanica-Kids-Tropical-Fruit-SPF50-Sunscreen-Spray-5oz-Front-Render.png" TargetMode="External"/><Relationship Id="rId141" Type="http://schemas.openxmlformats.org/officeDocument/2006/relationships/hyperlink" Target="https://cloudinary.images-iherb.com/image/upload/f_auto,q_auto:eco/images/alt/alt04023/l/15.jpg" TargetMode="External"/><Relationship Id="rId379" Type="http://schemas.openxmlformats.org/officeDocument/2006/relationships/hyperlink" Target="https://m.media-amazon.com/images/I/71LqrWUmGsL._SY879_.jpg" TargetMode="External"/><Relationship Id="rId7" Type="http://schemas.openxmlformats.org/officeDocument/2006/relationships/hyperlink" Target="https://shop.avogel.ca/cdn/shop/products/avogel-herbamare-spicy-organic-herbed-sea-salt-438796_5000x.jpg?v=1749561689" TargetMode="External"/><Relationship Id="rId183" Type="http://schemas.openxmlformats.org/officeDocument/2006/relationships/hyperlink" Target="https://cloudinary.images-iherb.com/image/upload/f_auto,q_auto:eco/images/adn/adn11905/l/34.jpg" TargetMode="External"/><Relationship Id="rId239" Type="http://schemas.openxmlformats.org/officeDocument/2006/relationships/hyperlink" Target="https://cloudinary.images-iherb.com/image/upload/f_auto,q_auto:eco/images/adn/adn11964/l/19.jpg" TargetMode="External"/><Relationship Id="rId390" Type="http://schemas.openxmlformats.org/officeDocument/2006/relationships/hyperlink" Target="https://m.media-amazon.com/images/I/81NvsHK94CL._SX679_.jpg" TargetMode="External"/><Relationship Id="rId404" Type="http://schemas.openxmlformats.org/officeDocument/2006/relationships/hyperlink" Target="https://www.andeandream.com/assets/images/pasta-shells.png" TargetMode="External"/><Relationship Id="rId446" Type="http://schemas.openxmlformats.org/officeDocument/2006/relationships/hyperlink" Target="https://honeyshoppe.com/cdn/shop/files/PropolisManukaSpraySupplement_960x.png?v=1705893816" TargetMode="External"/><Relationship Id="rId250" Type="http://schemas.openxmlformats.org/officeDocument/2006/relationships/hyperlink" Target="https://cloudinary.images-iherb.com/image/upload/f_auto,q_auto:eco/images/adn/adn00206/l/64.jpg" TargetMode="External"/><Relationship Id="rId292" Type="http://schemas.openxmlformats.org/officeDocument/2006/relationships/hyperlink" Target="https://m.media-amazon.com/images/I/41o0ekxNJSL._SX679_.jpg" TargetMode="External"/><Relationship Id="rId306" Type="http://schemas.openxmlformats.org/officeDocument/2006/relationships/hyperlink" Target="https://m.media-amazon.com/images/I/81uAcqTVQSL._AC_SX679_.jpg" TargetMode="External"/><Relationship Id="rId488" Type="http://schemas.openxmlformats.org/officeDocument/2006/relationships/hyperlink" Target="https://cloudinary.images-iherb.com/image/upload/f_auto,q_auto:eco/images/ahr/ahr86116/v/8.jpg" TargetMode="External"/><Relationship Id="rId45" Type="http://schemas.openxmlformats.org/officeDocument/2006/relationships/hyperlink" Target="https://s38167.pcdn.co/wp-content/uploads/2019/11/Intense-body-oil-front.png" TargetMode="External"/><Relationship Id="rId87" Type="http://schemas.openxmlformats.org/officeDocument/2006/relationships/hyperlink" Target="https://s38167.pcdn.co/wp-content/uploads/2023/02/SheerMineralFaceLotion_SPF50_2oz_New_Tube_Back_Render.png" TargetMode="External"/><Relationship Id="rId110" Type="http://schemas.openxmlformats.org/officeDocument/2006/relationships/hyperlink" Target="https://cloudinary.images-iherb.com/image/upload/f_auto,q_auto:eco/images/alt/alt05004/l/12.jpg" TargetMode="External"/><Relationship Id="rId348" Type="http://schemas.openxmlformats.org/officeDocument/2006/relationships/hyperlink" Target="https://m.media-amazon.com/images/I/61j6-qVAfLL._SX679_.jpg" TargetMode="External"/><Relationship Id="rId152" Type="http://schemas.openxmlformats.org/officeDocument/2006/relationships/hyperlink" Target="https://cloudinary.images-iherb.com/image/upload/f_auto,q_auto:eco/images/adn/adn00249/l/80.jpg" TargetMode="External"/><Relationship Id="rId194" Type="http://schemas.openxmlformats.org/officeDocument/2006/relationships/hyperlink" Target="https://cloudinary.images-iherb.com/image/upload/f_auto,q_auto:eco/images/adn/adn00252/l/72.jpg" TargetMode="External"/><Relationship Id="rId208" Type="http://schemas.openxmlformats.org/officeDocument/2006/relationships/hyperlink" Target="https://cloudinary.images-iherb.com/image/upload/f_auto,q_auto:eco/images/adn/adn00222/v/82.jpg" TargetMode="External"/><Relationship Id="rId415" Type="http://schemas.openxmlformats.org/officeDocument/2006/relationships/hyperlink" Target="https://alpinepeaksmt.com/cdn/shop/files/Bee_Pollen_2.webp?v=1737990794&amp;width=1646" TargetMode="External"/><Relationship Id="rId457" Type="http://schemas.openxmlformats.org/officeDocument/2006/relationships/hyperlink" Target="https://www.vitacost.com/Images/Products/500/Almased/Almased-Dietary-Supplement-for-Weight-Management-688449258727.jpg" TargetMode="External"/><Relationship Id="rId261" Type="http://schemas.openxmlformats.org/officeDocument/2006/relationships/hyperlink" Target="https://cloudinary.images-iherb.com/image/upload/f_auto,q_auto:eco/images/adn/adn00205/v/39.jpg" TargetMode="External"/><Relationship Id="rId499" Type="http://schemas.openxmlformats.org/officeDocument/2006/relationships/hyperlink" Target="https://cloudinary.images-iherb.com/image/upload/f_auto,q_auto:eco/images/ahr/ahr76006/l/23.jpg" TargetMode="External"/><Relationship Id="rId14" Type="http://schemas.openxmlformats.org/officeDocument/2006/relationships/hyperlink" Target="https://absnutrition.com/cdn/shop/products/green2_grande.png?v=1537468119" TargetMode="External"/><Relationship Id="rId56" Type="http://schemas.openxmlformats.org/officeDocument/2006/relationships/hyperlink" Target="https://sndonline.com/image/cache/data/products/247238-500x500.jpg" TargetMode="External"/><Relationship Id="rId317" Type="http://schemas.openxmlformats.org/officeDocument/2006/relationships/hyperlink" Target="https://m.media-amazon.com/images/I/81e9jLFx5wL._AC_SY879_.jpg" TargetMode="External"/><Relationship Id="rId359" Type="http://schemas.openxmlformats.org/officeDocument/2006/relationships/hyperlink" Target="https://cloudinary.images-iherb.com/image/upload/f_auto,q_auto:eco/images/adn/adn00202/l/42.jpg" TargetMode="External"/><Relationship Id="rId98" Type="http://schemas.openxmlformats.org/officeDocument/2006/relationships/hyperlink" Target="https://m.media-amazon.com/images/I/61njkdr+ESL._US900_.jpg" TargetMode="External"/><Relationship Id="rId121" Type="http://schemas.openxmlformats.org/officeDocument/2006/relationships/hyperlink" Target="https://allterrainco.com/cdn/shop/products/6-08503-05254-2_EczemaSoothingSoap4oz_03_1200x.jpg?v=1622754762" TargetMode="External"/><Relationship Id="rId163" Type="http://schemas.openxmlformats.org/officeDocument/2006/relationships/hyperlink" Target="https://cloudinary.images-iherb.com/image/upload/f_auto,q_auto:eco/images/adn/adn00233/l/28.jpg" TargetMode="External"/><Relationship Id="rId219" Type="http://schemas.openxmlformats.org/officeDocument/2006/relationships/hyperlink" Target="https://cloudinary.images-iherb.com/image/upload/f_auto,q_auto:eco/images/adn/adn00226/v/70.jpg" TargetMode="External"/><Relationship Id="rId370" Type="http://schemas.openxmlformats.org/officeDocument/2006/relationships/hyperlink" Target="https://m.media-amazon.com/images/I/81sTaiMjFnL._SX679_.jpg" TargetMode="External"/><Relationship Id="rId426" Type="http://schemas.openxmlformats.org/officeDocument/2006/relationships/hyperlink" Target="https://m.media-amazon.com/images/I/7113q35eAdL._AC_SX679_.jpg" TargetMode="External"/><Relationship Id="rId230" Type="http://schemas.openxmlformats.org/officeDocument/2006/relationships/hyperlink" Target="https://www.vitacost.com/Images/Products/500/Andalou-Naturals/Andalou-Naturals-CannaCell-Dreamy-Night-Cream-856932007200.jpg" TargetMode="External"/><Relationship Id="rId468" Type="http://schemas.openxmlformats.org/officeDocument/2006/relationships/hyperlink" Target="https://cloudinary.images-iherb.com/image/upload/f_auto,q_auto:eco/images/ahr/ahr86204/v/8.jpg" TargetMode="External"/><Relationship Id="rId25" Type="http://schemas.openxmlformats.org/officeDocument/2006/relationships/hyperlink" Target="https://s38167.pcdn.co/wp-content/uploads/2019/11/Homepage-left-1-1.png" TargetMode="External"/><Relationship Id="rId67" Type="http://schemas.openxmlformats.org/officeDocument/2006/relationships/hyperlink" Target="https://s38167.pcdn.co/wp-content/uploads/2019/11/daily-moisturizing-lotion-dry-to-very-dry-skin-1.png" TargetMode="External"/><Relationship Id="rId272" Type="http://schemas.openxmlformats.org/officeDocument/2006/relationships/hyperlink" Target="https://cloudinary.images-iherb.com/image/upload/f_auto,q_auto:eco/images/adn/adn11913/l/32.jpg" TargetMode="External"/><Relationship Id="rId328" Type="http://schemas.openxmlformats.org/officeDocument/2006/relationships/hyperlink" Target="https://cloudinary.images-iherb.com/image/upload/f_auto,q_auto:eco/images/adn/adn11940/v/11.jpg" TargetMode="External"/><Relationship Id="rId132" Type="http://schemas.openxmlformats.org/officeDocument/2006/relationships/hyperlink" Target="https://allterrainco.com/cdn/shop/files/image006_1200x.jpg?v=1738681273" TargetMode="External"/><Relationship Id="rId174" Type="http://schemas.openxmlformats.org/officeDocument/2006/relationships/hyperlink" Target="https://cloudinary.images-iherb.com/image/upload/f_auto,q_auto:eco/images/adn/adn00232/l/43.jpg" TargetMode="External"/><Relationship Id="rId381" Type="http://schemas.openxmlformats.org/officeDocument/2006/relationships/hyperlink" Target="https://www.vitacost.com/Images/Products/500/Andalou-Naturals/Andalou-Naturals-Age-Defying-Argan-Stem-Cell-3-Step-System-Kit-859975002416.jpg" TargetMode="External"/><Relationship Id="rId241" Type="http://schemas.openxmlformats.org/officeDocument/2006/relationships/hyperlink" Target="https://cloudinary.images-iherb.com/image/upload/f_auto,q_auto:eco/images/adn/adn11964/v/18.jpg" TargetMode="External"/><Relationship Id="rId437" Type="http://schemas.openxmlformats.org/officeDocument/2006/relationships/hyperlink" Target="https://honeyshoppe.com/cdn/shop/files/PropolisExtract25_Supplement_960x.png?v=1705894014" TargetMode="External"/><Relationship Id="rId479" Type="http://schemas.openxmlformats.org/officeDocument/2006/relationships/hyperlink" Target="https://cloudinary.images-iherb.com/image/upload/f_auto,q_auto:eco/images/ahr/ahr70046/v/15.jpg" TargetMode="External"/><Relationship Id="rId36" Type="http://schemas.openxmlformats.org/officeDocument/2006/relationships/hyperlink" Target="https://s38167.pcdn.co/wp-content/uploads/2019/11/Alba-Botanica-Ultra-Hydrating-Moisturizing-Cream-before-after-1.png" TargetMode="External"/><Relationship Id="rId283" Type="http://schemas.openxmlformats.org/officeDocument/2006/relationships/hyperlink" Target="https://m.media-amazon.com/images/I/61Fw+QX1yRL._SX679_.jpg" TargetMode="External"/><Relationship Id="rId339" Type="http://schemas.openxmlformats.org/officeDocument/2006/relationships/hyperlink" Target="https://cloudinary.images-iherb.com/image/upload/f_auto,q_auto:eco/images/adn/adn02008/l/63.jpg" TargetMode="External"/><Relationship Id="rId490" Type="http://schemas.openxmlformats.org/officeDocument/2006/relationships/hyperlink" Target="https://cloudinary.images-iherb.com/image/upload/f_auto,q_auto:eco/images/ahr/ahr76001/v/8.jpg" TargetMode="External"/><Relationship Id="rId78" Type="http://schemas.openxmlformats.org/officeDocument/2006/relationships/hyperlink" Target="https://s38167.pcdn.co/wp-content/uploads/2023/02/Alba_Sensitive_FF_SPF50_Spray_Back_Render-1.png" TargetMode="External"/><Relationship Id="rId101" Type="http://schemas.openxmlformats.org/officeDocument/2006/relationships/hyperlink" Target="https://cloudinary.images-iherb.com/image/upload/f_auto,q_auto:eco/images/alt/alt43007/l/15.jpg" TargetMode="External"/><Relationship Id="rId143" Type="http://schemas.openxmlformats.org/officeDocument/2006/relationships/hyperlink" Target="https://cloudinary.images-iherb.com/image/upload/f_auto,q_auto:eco/images/alt/alt05009/r/8.jpg" TargetMode="External"/><Relationship Id="rId185" Type="http://schemas.openxmlformats.org/officeDocument/2006/relationships/hyperlink" Target="https://cloudinary.images-iherb.com/image/upload/f_auto,q_auto:eco/images/adn/adn11905/l/36.jpg" TargetMode="External"/><Relationship Id="rId350" Type="http://schemas.openxmlformats.org/officeDocument/2006/relationships/hyperlink" Target="https://cloudinary.images-iherb.com/image/upload/f_auto,q_auto:eco/images/adn/adn02064/v/25.jpg" TargetMode="External"/><Relationship Id="rId406" Type="http://schemas.openxmlformats.org/officeDocument/2006/relationships/hyperlink" Target="https://eatandeandream.com/cdn/shop/files/spaghetti-back_1024x1024@2x.jpg?v=1721414527" TargetMode="External"/><Relationship Id="rId9" Type="http://schemas.openxmlformats.org/officeDocument/2006/relationships/hyperlink" Target="https://absnutrition.com/cdn/shop/files/AbsNut-NewLabelCapsules-Berberine2_grande.jpg?v=1703882401" TargetMode="External"/><Relationship Id="rId210" Type="http://schemas.openxmlformats.org/officeDocument/2006/relationships/hyperlink" Target="https://cloudinary.images-iherb.com/image/upload/f_auto,q_auto:eco/images/adn/adn00236/v/38.jpg" TargetMode="External"/><Relationship Id="rId392" Type="http://schemas.openxmlformats.org/officeDocument/2006/relationships/hyperlink" Target="https://images.cdn.shoprite.com/detail/00893470001208_1" TargetMode="External"/><Relationship Id="rId448" Type="http://schemas.openxmlformats.org/officeDocument/2006/relationships/hyperlink" Target="https://honeyshoppe.com/cdn/shop/files/PropolisManukaSpray_720x.png?v=1705893816" TargetMode="External"/><Relationship Id="rId252" Type="http://schemas.openxmlformats.org/officeDocument/2006/relationships/hyperlink" Target="https://cloudinary.images-iherb.com/image/upload/f_auto,q_auto:eco/images/adn/adn02080/l/30.jpg" TargetMode="External"/><Relationship Id="rId294" Type="http://schemas.openxmlformats.org/officeDocument/2006/relationships/hyperlink" Target="https://m.media-amazon.com/images/I/61RKcW-6sfL._SY879_.jpg" TargetMode="External"/><Relationship Id="rId308" Type="http://schemas.openxmlformats.org/officeDocument/2006/relationships/hyperlink" Target="https://m.media-amazon.com/images/I/61CYpCP8TVL._AC_SY879_.jpg" TargetMode="External"/><Relationship Id="rId47" Type="http://schemas.openxmlformats.org/officeDocument/2006/relationships/hyperlink" Target="https://s38167.pcdn.co/wp-content/uploads/2020/01/MangShampoo32_AL00858_TN2_1000.png" TargetMode="External"/><Relationship Id="rId89" Type="http://schemas.openxmlformats.org/officeDocument/2006/relationships/hyperlink" Target="https://s38167.pcdn.co/wp-content/uploads/2023/02/Alba_SheerMineral_SPF30_Spray_Back_Render.png" TargetMode="External"/><Relationship Id="rId112" Type="http://schemas.openxmlformats.org/officeDocument/2006/relationships/hyperlink" Target="https://cloudinary.images-iherb.com/image/upload/f_auto,q_auto:eco/images/alt/alt05006/v/11.jpg" TargetMode="External"/><Relationship Id="rId154" Type="http://schemas.openxmlformats.org/officeDocument/2006/relationships/hyperlink" Target="https://cloudinary.images-iherb.com/image/upload/f_auto,q_auto:eco/images/adn/adn00269/l/87.jpg" TargetMode="External"/><Relationship Id="rId361" Type="http://schemas.openxmlformats.org/officeDocument/2006/relationships/hyperlink" Target="https://m.media-amazon.com/images/I/41+er3mAhIL._SX679_.jpg" TargetMode="External"/><Relationship Id="rId196" Type="http://schemas.openxmlformats.org/officeDocument/2006/relationships/hyperlink" Target="https://cloudinary.images-iherb.com/image/upload/f_auto,q_auto:eco/images/adn/adn00250/l/37.jpg" TargetMode="External"/><Relationship Id="rId417" Type="http://schemas.openxmlformats.org/officeDocument/2006/relationships/hyperlink" Target="https://alpinepeaksmt.com/cdn/shop/files/HoneyandPropolisLozengers-AssortedFlavors1.webp?v=1737986293&amp;width=1646" TargetMode="External"/><Relationship Id="rId459" Type="http://schemas.openxmlformats.org/officeDocument/2006/relationships/hyperlink" Target="https://cloudinary.images-iherb.com/image/upload/f_auto,q_auto:eco/images/ahr/ahr06100/v/8.jpg" TargetMode="External"/><Relationship Id="rId16" Type="http://schemas.openxmlformats.org/officeDocument/2006/relationships/hyperlink" Target="https://cloudinary.images-iherb.com/image/upload/f_auto,q_auto:eco/images/abn/abn09020/l/13.jpg" TargetMode="External"/><Relationship Id="rId221" Type="http://schemas.openxmlformats.org/officeDocument/2006/relationships/hyperlink" Target="https://cloudinary.images-iherb.com/image/upload/f_auto,q_auto:eco/images/adn/adn00254/l/33.jpg" TargetMode="External"/><Relationship Id="rId263" Type="http://schemas.openxmlformats.org/officeDocument/2006/relationships/hyperlink" Target="https://m.media-amazon.com/images/I/71exntMsrEL._SX679_.jpg" TargetMode="External"/><Relationship Id="rId319" Type="http://schemas.openxmlformats.org/officeDocument/2006/relationships/hyperlink" Target="https://www.vitacost.com/Images/Products/500/Andalou-Naturals/Andalou-Naturals-MEN-Refreshing-Face-Wash-856932007354.jpg" TargetMode="External"/><Relationship Id="rId470" Type="http://schemas.openxmlformats.org/officeDocument/2006/relationships/hyperlink" Target="https://cloudinary.images-iherb.com/image/upload/f_auto,q_auto:eco/images/ahr/ahr12004/l/74.jpg" TargetMode="External"/><Relationship Id="rId58" Type="http://schemas.openxmlformats.org/officeDocument/2006/relationships/hyperlink" Target="https://s38167.pcdn.co/wp-content/uploads/2023/02/Alba-Botanica-Hawaiian-Island-Vibe-SPF50-Sunscreen-Lotion-3oz-Front-Render.png" TargetMode="External"/><Relationship Id="rId123" Type="http://schemas.openxmlformats.org/officeDocument/2006/relationships/hyperlink" Target="https://allterrainco.com/cdn/shop/products/6-08503-05007-4_GauzePads_10ct_1200x.jpg?v=1622762957" TargetMode="External"/><Relationship Id="rId330" Type="http://schemas.openxmlformats.org/officeDocument/2006/relationships/hyperlink" Target="https://cloudinary.images-iherb.com/image/upload/f_auto,q_auto:eco/images/adn/adn11962/l/11.jpg" TargetMode="External"/><Relationship Id="rId165" Type="http://schemas.openxmlformats.org/officeDocument/2006/relationships/hyperlink" Target="https://cloudinary.images-iherb.com/image/upload/f_auto,q_auto:eco/images/adn/adn00229/l/47.jpg" TargetMode="External"/><Relationship Id="rId372" Type="http://schemas.openxmlformats.org/officeDocument/2006/relationships/hyperlink" Target="https://www.vitacost.com/Images/Products/500/Andalou-Naturals/Andalou-Naturals-Vitalizing-Shower-Gel-Mandarin-Vanilla-859975020229.jpg" TargetMode="External"/><Relationship Id="rId428" Type="http://schemas.openxmlformats.org/officeDocument/2006/relationships/hyperlink" Target="https://honeyshoppe.com/cdn/shop/files/PropolisNasalSprayLeft_1024x1024.png?v=1705893971" TargetMode="External"/><Relationship Id="rId232" Type="http://schemas.openxmlformats.org/officeDocument/2006/relationships/hyperlink" Target="https://www.vitamart.ca/cdn/shop/products/andalou-naturals-cannacell-d-puff-eye-cream-18ml_5ed8fd75-249c-4bbb-9218-194c964c593c.jpg?v=1716073436&amp;width=1100" TargetMode="External"/><Relationship Id="rId274" Type="http://schemas.openxmlformats.org/officeDocument/2006/relationships/hyperlink" Target="https://cloudinary.images-iherb.com/image/upload/f_auto,q_auto:eco/images/adn/adn11913/v/29.jpg" TargetMode="External"/><Relationship Id="rId481" Type="http://schemas.openxmlformats.org/officeDocument/2006/relationships/hyperlink" Target="https://cloudinary.images-iherb.com/image/upload/f_auto,q_auto:eco/images/ahr/ahr70040/l/20.jpg" TargetMode="External"/><Relationship Id="rId27" Type="http://schemas.openxmlformats.org/officeDocument/2006/relationships/hyperlink" Target="https://s38167.pcdn.co/wp-content/uploads/2019/11/face-and-body-scurb-before-and-after.jpg" TargetMode="External"/><Relationship Id="rId69" Type="http://schemas.openxmlformats.org/officeDocument/2006/relationships/hyperlink" Target="https://s38167.pcdn.co/wp-content/uploads/2019/11/daily-moisturizing-lotion-dry-to-very-dry-skin-back.png" TargetMode="External"/><Relationship Id="rId134" Type="http://schemas.openxmlformats.org/officeDocument/2006/relationships/hyperlink" Target="https://cloudinary.images-iherb.com/image/upload/f_auto,q_auto:eco/images/alt/alt01009/l/24.jpg" TargetMode="External"/><Relationship Id="rId80" Type="http://schemas.openxmlformats.org/officeDocument/2006/relationships/hyperlink" Target="https://s38167.pcdn.co/wp-content/uploads/2019/11/baby-mineral-back-1.png" TargetMode="External"/><Relationship Id="rId176" Type="http://schemas.openxmlformats.org/officeDocument/2006/relationships/hyperlink" Target="https://cloudinary.images-iherb.com/image/upload/f_auto,q_auto:eco/images/adn/adn00232/v/40.jpg" TargetMode="External"/><Relationship Id="rId341" Type="http://schemas.openxmlformats.org/officeDocument/2006/relationships/hyperlink" Target="https://cloudinary.images-iherb.com/image/upload/f_auto,q_auto:eco/images/adn/adn11944/r/12.jpg" TargetMode="External"/><Relationship Id="rId383" Type="http://schemas.openxmlformats.org/officeDocument/2006/relationships/hyperlink" Target="https://cloudinary.images-iherb.com/image/upload/f_auto,q_auto:eco/images/adn/adn00239/v/32.jpg" TargetMode="External"/><Relationship Id="rId439" Type="http://schemas.openxmlformats.org/officeDocument/2006/relationships/hyperlink" Target="https://www.koshervitamins.com/images/images_101/pictures/propolis(2).png" TargetMode="External"/><Relationship Id="rId201" Type="http://schemas.openxmlformats.org/officeDocument/2006/relationships/hyperlink" Target="https://cloudinary.images-iherb.com/image/upload/f_auto,q_auto:eco/images/adn/adn00246/l/43.jpg" TargetMode="External"/><Relationship Id="rId243" Type="http://schemas.openxmlformats.org/officeDocument/2006/relationships/hyperlink" Target="https://cloudinary.images-iherb.com/image/upload/f_auto,q_auto:eco/images/adn/adn00247/l/66.jpg" TargetMode="External"/><Relationship Id="rId285" Type="http://schemas.openxmlformats.org/officeDocument/2006/relationships/hyperlink" Target="https://cloudinary.images-iherb.com/image/upload/f_auto,q_auto:eco/images/adn/adn00266/l/51.jpg" TargetMode="External"/><Relationship Id="rId450" Type="http://schemas.openxmlformats.org/officeDocument/2006/relationships/hyperlink" Target="https://honeyshoppe.com/cdn/shop/files/PropolisSprayLeft_720x.png?v=1709167437" TargetMode="External"/><Relationship Id="rId38" Type="http://schemas.openxmlformats.org/officeDocument/2006/relationships/hyperlink" Target="https://s38167.pcdn.co/wp-content/uploads/2019/11/Alba-Botanica-Ultra-Hydrating-Moisturizing-Cream__-front.png" TargetMode="External"/><Relationship Id="rId103" Type="http://schemas.openxmlformats.org/officeDocument/2006/relationships/hyperlink" Target="https://cloudinary.images-iherb.com/image/upload/f_auto,q_auto:eco/images/alt/alt05003/l/23.jpg" TargetMode="External"/><Relationship Id="rId310" Type="http://schemas.openxmlformats.org/officeDocument/2006/relationships/hyperlink" Target="https://target.scene7.com/is/image/Target/GUEST_1308a2d0-9f3e-4fcc-a1e7-5d03a0505112?wid=800&amp;hei=800&amp;qlt=80" TargetMode="External"/><Relationship Id="rId492" Type="http://schemas.openxmlformats.org/officeDocument/2006/relationships/hyperlink" Target="https://cloudinary.images-iherb.com/image/upload/f_auto,q_auto:eco/images/ahr/ahr76006/v/12.jpg" TargetMode="External"/><Relationship Id="rId91" Type="http://schemas.openxmlformats.org/officeDocument/2006/relationships/hyperlink" Target="https://s38167.pcdn.co/wp-content/uploads/2023/02/Alba_Sensitive_FF_SPF50_Spray_Back_Render-1.png" TargetMode="External"/><Relationship Id="rId145" Type="http://schemas.openxmlformats.org/officeDocument/2006/relationships/hyperlink" Target="https://cloudinary.images-iherb.com/image/upload/f_auto,q_auto:eco/images/alt/alt05009/v/6.jpg" TargetMode="External"/><Relationship Id="rId187" Type="http://schemas.openxmlformats.org/officeDocument/2006/relationships/hyperlink" Target="https://cloudinary.images-iherb.com/image/upload/f_auto,q_auto:eco/images/adn/adn11904/l/30.jpg" TargetMode="External"/><Relationship Id="rId352" Type="http://schemas.openxmlformats.org/officeDocument/2006/relationships/hyperlink" Target="https://cloudinary.images-iherb.com/image/upload/f_auto,q_auto:eco/images/adn/adn02079/l/12.jpg" TargetMode="External"/><Relationship Id="rId394" Type="http://schemas.openxmlformats.org/officeDocument/2006/relationships/hyperlink" Target="https://m.media-amazon.com/images/I/71OSMIuxceL._SY879_.jpg" TargetMode="External"/><Relationship Id="rId408" Type="http://schemas.openxmlformats.org/officeDocument/2006/relationships/hyperlink" Target="https://www.andeandream.com/assets/images/pasta-orzo.png" TargetMode="External"/><Relationship Id="rId212" Type="http://schemas.openxmlformats.org/officeDocument/2006/relationships/hyperlink" Target="https://cloudinary.images-iherb.com/image/upload/f_auto,q_auto:eco/images/adn/adn00230/l/57.jpg" TargetMode="External"/><Relationship Id="rId254" Type="http://schemas.openxmlformats.org/officeDocument/2006/relationships/hyperlink" Target="https://cdn1.skinsafeproducts.com/photo/CF21EF4BD66AEB/large_1587821472.jpeg?1587821472" TargetMode="External"/><Relationship Id="rId49" Type="http://schemas.openxmlformats.org/officeDocument/2006/relationships/hyperlink" Target="https://cloudinary.images-iherb.com/image/upload/f_auto,q_auto:eco/images/alb/alb01236/l/12.jpg" TargetMode="External"/><Relationship Id="rId114" Type="http://schemas.openxmlformats.org/officeDocument/2006/relationships/hyperlink" Target="https://cloudinary.images-iherb.com/image/upload/f_auto,q_auto:eco/images/alt/alt06002/v/15.jpg" TargetMode="External"/><Relationship Id="rId296" Type="http://schemas.openxmlformats.org/officeDocument/2006/relationships/hyperlink" Target="https://m.media-amazon.com/images/I/61AILW23e9L._SY879_.jpg" TargetMode="External"/><Relationship Id="rId461" Type="http://schemas.openxmlformats.org/officeDocument/2006/relationships/hyperlink" Target="https://cloudinary.images-iherb.com/image/upload/f_auto,q_auto:eco/images/ahr/ahr22060/v/8.jpg" TargetMode="External"/><Relationship Id="rId60" Type="http://schemas.openxmlformats.org/officeDocument/2006/relationships/hyperlink" Target="https://s38167.pcdn.co/wp-content/uploads/2023/02/AL01062_SheerMineral_Lotion_FF_SPF30_Front_Render.png" TargetMode="External"/><Relationship Id="rId156" Type="http://schemas.openxmlformats.org/officeDocument/2006/relationships/hyperlink" Target="https://cloudinary.images-iherb.com/image/upload/f_auto,q_auto:eco/images/adn/adn00269/l/88.jpg" TargetMode="External"/><Relationship Id="rId198" Type="http://schemas.openxmlformats.org/officeDocument/2006/relationships/hyperlink" Target="https://cloudinary.images-iherb.com/image/upload/f_auto,q_auto:eco/images/adn/adn00250/l/38.jpg" TargetMode="External"/><Relationship Id="rId321" Type="http://schemas.openxmlformats.org/officeDocument/2006/relationships/hyperlink" Target="https://www.kroger.com/product/images/thumbnail/right/0085997502005" TargetMode="External"/><Relationship Id="rId363" Type="http://schemas.openxmlformats.org/officeDocument/2006/relationships/hyperlink" Target="https://www.vitacost.com/Images/Products/500/Andalou-Naturals/Andalou-Naturals-Uplifting-Shower-Gel-Citrus-Sunflower-859975020212.jpg" TargetMode="External"/><Relationship Id="rId419" Type="http://schemas.openxmlformats.org/officeDocument/2006/relationships/hyperlink" Target="https://honeyshoppe.com/cdn/shop/files/manukapouchback_960x.png?v=1699066729" TargetMode="External"/><Relationship Id="rId223" Type="http://schemas.openxmlformats.org/officeDocument/2006/relationships/hyperlink" Target="https://www.vitacost.com/Images/Products/500/Andalou-Naturals/Andalou-Naturals-CannaCell-Cleansing-Foam-856932007101.jpg" TargetMode="External"/><Relationship Id="rId430" Type="http://schemas.openxmlformats.org/officeDocument/2006/relationships/hyperlink" Target="https://alpinepeaksmt.com/cdn/shop/files/propolis_1000mg_3.webp?v=1739043717&amp;width=1646" TargetMode="External"/><Relationship Id="rId18" Type="http://schemas.openxmlformats.org/officeDocument/2006/relationships/hyperlink" Target="https://cloudinary.images-iherb.com/image/upload/f_auto,q_auto:eco/images/abn/abn08857/l/54.jpg" TargetMode="External"/><Relationship Id="rId265" Type="http://schemas.openxmlformats.org/officeDocument/2006/relationships/hyperlink" Target="https://m.media-amazon.com/images/I/61cokkdW1yL._SX679_.jpg" TargetMode="External"/><Relationship Id="rId472" Type="http://schemas.openxmlformats.org/officeDocument/2006/relationships/hyperlink" Target="https://cloudinary.images-iherb.com/image/upload/f_auto,q_auto:eco/images/ahr/ahr12008/l/42.jpg" TargetMode="External"/><Relationship Id="rId125" Type="http://schemas.openxmlformats.org/officeDocument/2006/relationships/hyperlink" Target="https://cloudinary.images-iherb.com/image/upload/f_auto,q_auto:eco/images/alt/alt01013/v/22.jpg" TargetMode="External"/><Relationship Id="rId167" Type="http://schemas.openxmlformats.org/officeDocument/2006/relationships/hyperlink" Target="https://cloudinary.images-iherb.com/image/upload/f_auto,q_auto:eco/images/adn/adn00229/v/44.jpg" TargetMode="External"/><Relationship Id="rId332" Type="http://schemas.openxmlformats.org/officeDocument/2006/relationships/hyperlink" Target="https://cloudinary.images-iherb.com/image/upload/f_auto,q_auto:eco/images/adn/adn02010/r/67.jpg" TargetMode="External"/><Relationship Id="rId374" Type="http://schemas.openxmlformats.org/officeDocument/2006/relationships/hyperlink" Target="https://cloudinary.images-iherb.com/image/upload/f_auto,q_auto:eco/images/adn/adn02025/v/53.jpg" TargetMode="External"/><Relationship Id="rId71" Type="http://schemas.openxmlformats.org/officeDocument/2006/relationships/hyperlink" Target="https://s38167.pcdn.co/wp-content/uploads/2019/11/daily-moisturizing-lotion-sensitive-skin-back.png" TargetMode="External"/><Relationship Id="rId234" Type="http://schemas.openxmlformats.org/officeDocument/2006/relationships/hyperlink" Target="https://cloudinary.images-iherb.com/image/upload/f_auto,q_auto:eco/images/adn/adn00244/l/30.jpg" TargetMode="External"/><Relationship Id="rId2" Type="http://schemas.openxmlformats.org/officeDocument/2006/relationships/hyperlink" Target="https://shop.avogel.ca/cdn/shop/products/herbamare-original-organic-herbed-sea-salt-254615_5000x.jpg?v=1652345004" TargetMode="External"/><Relationship Id="rId29" Type="http://schemas.openxmlformats.org/officeDocument/2006/relationships/hyperlink" Target="https://s38167.pcdn.co/wp-content/uploads/2020/11/Acnedote_PimplePatches_Front_759_40ct.png" TargetMode="External"/><Relationship Id="rId276" Type="http://schemas.openxmlformats.org/officeDocument/2006/relationships/hyperlink" Target="https://cloudinary.images-iherb.com/image/upload/f_auto,q_auto:eco/images/adn/adn11915/r/28.jpg" TargetMode="External"/><Relationship Id="rId441" Type="http://schemas.openxmlformats.org/officeDocument/2006/relationships/hyperlink" Target="https://honeyshoppe.com/cdn/shop/files/PROPOLIS65_SUPPLEMENT_960x.png?v=1705894141" TargetMode="External"/><Relationship Id="rId483" Type="http://schemas.openxmlformats.org/officeDocument/2006/relationships/hyperlink" Target="https://cloudinary.images-iherb.com/image/upload/f_auto,q_auto:eco/images/ahr/ahr04100/l/14.jpg" TargetMode="External"/><Relationship Id="rId40" Type="http://schemas.openxmlformats.org/officeDocument/2006/relationships/hyperlink" Target="https://s38167.pcdn.co/wp-content/uploads/2019/11/Exfoliating-Facial-Cleanser-back.png" TargetMode="External"/><Relationship Id="rId136" Type="http://schemas.openxmlformats.org/officeDocument/2006/relationships/hyperlink" Target="https://cloudinary.images-iherb.com/image/upload/f_auto,q_auto:eco/images/alt/alt01004/l/22.jpg" TargetMode="External"/><Relationship Id="rId178" Type="http://schemas.openxmlformats.org/officeDocument/2006/relationships/hyperlink" Target="https://cloudinary.images-iherb.com/image/upload/f_auto,q_auto:eco/images/adn/adn00224/l/44.jpg" TargetMode="External"/><Relationship Id="rId301" Type="http://schemas.openxmlformats.org/officeDocument/2006/relationships/hyperlink" Target="https://www.instacart.com/image-server/699x699/www.instacart.com/assets/domains/product-image/file/large_b318868b-f70f-4f3c-99eb-070979e79e12.png" TargetMode="External"/><Relationship Id="rId343" Type="http://schemas.openxmlformats.org/officeDocument/2006/relationships/hyperlink" Target="https://cloudinary.images-iherb.com/image/upload/f_auto,q_auto:eco/images/adn/adn11944/l/15.jpg" TargetMode="External"/><Relationship Id="rId82" Type="http://schemas.openxmlformats.org/officeDocument/2006/relationships/hyperlink" Target="https://s38167.pcdn.co/wp-content/uploads/2023/02/AL01076_SheerMineral_FF-FaceLotion_SPF30_2oz_New_Tube_Front_Render.png" TargetMode="External"/><Relationship Id="rId203" Type="http://schemas.openxmlformats.org/officeDocument/2006/relationships/hyperlink" Target="https://cloudinary.images-iherb.com/image/upload/f_auto,q_auto:eco/images/adn/adn11960/l/54.jpg" TargetMode="External"/><Relationship Id="rId385" Type="http://schemas.openxmlformats.org/officeDocument/2006/relationships/hyperlink" Target="https://m.media-amazon.com/images/I/814XFwhJ2lL._SY879_.jpg" TargetMode="External"/><Relationship Id="rId245" Type="http://schemas.openxmlformats.org/officeDocument/2006/relationships/hyperlink" Target="https://cloudinary.images-iherb.com/image/upload/f_auto,q_auto:eco/images/adn/adn02065/l/29.jpg" TargetMode="External"/><Relationship Id="rId287" Type="http://schemas.openxmlformats.org/officeDocument/2006/relationships/hyperlink" Target="https://cloudinary.images-iherb.com/image/upload/f_auto,q_auto:eco/images/adn/adn00220/v/35.jpg" TargetMode="External"/><Relationship Id="rId410" Type="http://schemas.openxmlformats.org/officeDocument/2006/relationships/hyperlink" Target="https://alpinepeaksmt.com/cdn/shop/files/bee_pollen_500mg_90_-_2.webp?v=1739042869&amp;width=1646" TargetMode="External"/><Relationship Id="rId452" Type="http://schemas.openxmlformats.org/officeDocument/2006/relationships/hyperlink" Target="https://honeyshoppe.com/cdn/shop/files/PropolisThroatSpraywithHerbsLeft_960x.png?v=1705893927" TargetMode="External"/><Relationship Id="rId494" Type="http://schemas.openxmlformats.org/officeDocument/2006/relationships/hyperlink" Target="https://cloudinary.images-iherb.com/image/upload/f_auto,q_auto:eco/images/ahr/ahr61001/v/8.jpg" TargetMode="External"/><Relationship Id="rId105" Type="http://schemas.openxmlformats.org/officeDocument/2006/relationships/hyperlink" Target="https://cloudinary.images-iherb.com/image/upload/f_auto,q_auto:eco/images/alt/alt05005/l/15.jpg" TargetMode="External"/><Relationship Id="rId147" Type="http://schemas.openxmlformats.org/officeDocument/2006/relationships/hyperlink" Target="https://cloudinary.images-iherb.com/image/upload/f_auto,q_auto:eco/images/adn/adn00268/v/92.jpg" TargetMode="External"/><Relationship Id="rId312" Type="http://schemas.openxmlformats.org/officeDocument/2006/relationships/hyperlink" Target="https://m.media-amazon.com/images/I/81SJXA85glS._SX679_.jpg" TargetMode="External"/><Relationship Id="rId354" Type="http://schemas.openxmlformats.org/officeDocument/2006/relationships/hyperlink" Target="https://cloudinary.images-iherb.com/image/upload/f_auto,q_auto:eco/images/adn/adn00203/l/64.jpg" TargetMode="External"/><Relationship Id="rId51" Type="http://schemas.openxmlformats.org/officeDocument/2006/relationships/hyperlink" Target="https://s38167.pcdn.co/wp-content/uploads/2023/02/HawClear_SPF30_Spray_Back_Render-1.png" TargetMode="External"/><Relationship Id="rId93" Type="http://schemas.openxmlformats.org/officeDocument/2006/relationships/hyperlink" Target="https://www.nhc.com/site/NHC/img/sport-sunscreen-AB_main,2.jpg" TargetMode="External"/><Relationship Id="rId189" Type="http://schemas.openxmlformats.org/officeDocument/2006/relationships/hyperlink" Target="https://cloudinary.images-iherb.com/image/upload/f_auto,q_auto:eco/images/adn/adn11904/v/38.jpg" TargetMode="External"/><Relationship Id="rId396" Type="http://schemas.openxmlformats.org/officeDocument/2006/relationships/hyperlink" Target="https://m.media-amazon.com/images/I/917X+Skrq6L._SY879_.jpg" TargetMode="External"/><Relationship Id="rId214" Type="http://schemas.openxmlformats.org/officeDocument/2006/relationships/hyperlink" Target="https://cloudinary.images-iherb.com/image/upload/f_auto,q_auto:eco/images/adn/adn00230/v/56.jpg" TargetMode="External"/><Relationship Id="rId256" Type="http://schemas.openxmlformats.org/officeDocument/2006/relationships/hyperlink" Target="https://cloudinary.images-iherb.com/image/upload/f_auto,q_auto:eco/images/adn/adn00204/l/40.jpg" TargetMode="External"/><Relationship Id="rId298" Type="http://schemas.openxmlformats.org/officeDocument/2006/relationships/hyperlink" Target="https://cloudinary.images-iherb.com/image/upload/f_auto,q_auto:eco/images/adn/adn11985/v/8.jpg" TargetMode="External"/><Relationship Id="rId421" Type="http://schemas.openxmlformats.org/officeDocument/2006/relationships/hyperlink" Target="https://alpinepeaksmt.com/cdn/shop/files/Honey_and_Propolis_-_Assorted_Flavors_2.webp?v=1737986184&amp;width=1646" TargetMode="External"/><Relationship Id="rId463" Type="http://schemas.openxmlformats.org/officeDocument/2006/relationships/hyperlink" Target="https://cloudinary.images-iherb.com/image/upload/f_auto,q_auto:eco/images/ahr/ahr08100/l/14.jpg" TargetMode="External"/><Relationship Id="rId116" Type="http://schemas.openxmlformats.org/officeDocument/2006/relationships/hyperlink" Target="https://cloudinary.images-iherb.com/image/upload/f_auto,q_auto:eco/images/alt/alt05042/l/36.jpg" TargetMode="External"/><Relationship Id="rId158" Type="http://schemas.openxmlformats.org/officeDocument/2006/relationships/hyperlink" Target="https://cloudinary.images-iherb.com/image/upload/f_auto,q_auto:eco/images/adn/adn00268/l/89.jpg" TargetMode="External"/><Relationship Id="rId323" Type="http://schemas.openxmlformats.org/officeDocument/2006/relationships/hyperlink" Target="https://www.vitacost.com/Images/Products/500/Andalou-Naturals/Andalou-Naturals-MEN-Smooth-Glide-Shave-Cream-856932007361.jpg" TargetMode="External"/><Relationship Id="rId20" Type="http://schemas.openxmlformats.org/officeDocument/2006/relationships/hyperlink" Target="https://cloudinary.images-iherb.com/image/upload/f_auto,q_auto:eco/images/abn/abn08847/l/52.jpg" TargetMode="External"/><Relationship Id="rId62" Type="http://schemas.openxmlformats.org/officeDocument/2006/relationships/hyperlink" Target="https://s38167.pcdn.co/wp-content/uploads/2023/02/Alba-Botanica-Hawaiian-Aloe-Vera-SPF30-Sunscreen-Lotion-3oz-Back-Render.png" TargetMode="External"/><Relationship Id="rId365" Type="http://schemas.openxmlformats.org/officeDocument/2006/relationships/hyperlink" Target="https://m.media-amazon.com/images/I/61h4uX00CWL._SY879_.jpg" TargetMode="External"/><Relationship Id="rId225" Type="http://schemas.openxmlformats.org/officeDocument/2006/relationships/hyperlink" Target="https://m.media-amazon.com/images/I/51ksvnHrt+L._SY879_.jpg" TargetMode="External"/><Relationship Id="rId267" Type="http://schemas.openxmlformats.org/officeDocument/2006/relationships/hyperlink" Target="https://m.media-amazon.com/images/S/assets.wholefoodsmarket.com/PIE/product/51iabcEJ0SL._FMwebp__SR100,100_.jpg" TargetMode="External"/><Relationship Id="rId432" Type="http://schemas.openxmlformats.org/officeDocument/2006/relationships/hyperlink" Target="https://alpinepeaksmt.com/cdn/shop/files/propolis1000mg1.webp?v=1739106699&amp;width=1646" TargetMode="External"/><Relationship Id="rId474" Type="http://schemas.openxmlformats.org/officeDocument/2006/relationships/hyperlink" Target="https://cloudinary.images-iherb.com/image/upload/f_auto,q_auto:eco/images/ahr/ahr13090/l/54.jpg" TargetMode="External"/><Relationship Id="rId127" Type="http://schemas.openxmlformats.org/officeDocument/2006/relationships/hyperlink" Target="https://vitaminlife.com/cdn/shop/files/70442-1-large.jpg?v=1738473992&amp;width=2000" TargetMode="External"/><Relationship Id="rId10" Type="http://schemas.openxmlformats.org/officeDocument/2006/relationships/hyperlink" Target="https://absnutrition.com/cdn/shop/files/3DCapsulesBottle-Collagen_grande.jpg?v=1703883074" TargetMode="External"/><Relationship Id="rId31" Type="http://schemas.openxmlformats.org/officeDocument/2006/relationships/hyperlink" Target="https://s38167.pcdn.co/wp-content/uploads/2019/11/Alba-Botanica-Daily-Oil-free-Hydrating-Moisturizer-back.jpg" TargetMode="External"/><Relationship Id="rId52" Type="http://schemas.openxmlformats.org/officeDocument/2006/relationships/hyperlink" Target="https://s38167.pcdn.co/wp-content/uploads/2023/02/Alba_HawClear_SPF50_Spray_Back_Render.png" TargetMode="External"/><Relationship Id="rId73" Type="http://schemas.openxmlformats.org/officeDocument/2006/relationships/hyperlink" Target="https://s38167.pcdn.co/wp-content/uploads/2023/02/2022_AfterSunGel_4_UPDATE_2_Tube_Back_Render-2.png" TargetMode="External"/><Relationship Id="rId94" Type="http://schemas.openxmlformats.org/officeDocument/2006/relationships/hyperlink" Target="https://www.nhc.com/site/NHC/img/sport-sunscreen-AB_main,1.jpg" TargetMode="External"/><Relationship Id="rId148" Type="http://schemas.openxmlformats.org/officeDocument/2006/relationships/hyperlink" Target="https://cloudinary.images-iherb.com/image/upload/f_auto,q_auto:eco/images/adn/adn00249/v/77.jpg" TargetMode="External"/><Relationship Id="rId169" Type="http://schemas.openxmlformats.org/officeDocument/2006/relationships/hyperlink" Target="https://cloudinary.images-iherb.com/image/upload/f_auto,q_auto:eco/images/adn/adn00231/r/75.jpg" TargetMode="External"/><Relationship Id="rId334" Type="http://schemas.openxmlformats.org/officeDocument/2006/relationships/hyperlink" Target="https://cloudinary.images-iherb.com/image/upload/f_auto,q_auto:eco/images/adn/adn02010/v/65.jpg" TargetMode="External"/><Relationship Id="rId355" Type="http://schemas.openxmlformats.org/officeDocument/2006/relationships/hyperlink" Target="https://cloudinary.images-iherb.com/image/upload/f_auto,q_auto:eco/images/adn/adn00201/l/39.jpg" TargetMode="External"/><Relationship Id="rId376" Type="http://schemas.openxmlformats.org/officeDocument/2006/relationships/hyperlink" Target="https://cloudinary.images-iherb.com/image/upload/f_auto,q_auto:eco/images/adn/adn00210/v/34.jpg" TargetMode="External"/><Relationship Id="rId397" Type="http://schemas.openxmlformats.org/officeDocument/2006/relationships/hyperlink" Target="https://eatandeandream.com/cdn/shop/products/Organic-Turmeric_1024x1024@2x.jpg?v=1721414917" TargetMode="External"/><Relationship Id="rId4" Type="http://schemas.openxmlformats.org/officeDocument/2006/relationships/hyperlink" Target="https://shop.avogel.ca/cdn/shop/products/herbamare-original-organic-herbed-sea-salt-254615_5000x.jpg?v=1652345004" TargetMode="External"/><Relationship Id="rId180" Type="http://schemas.openxmlformats.org/officeDocument/2006/relationships/hyperlink" Target="https://cloudinary.images-iherb.com/image/upload/f_auto,q_auto:eco/images/adn/adn00235/l/39.jpg" TargetMode="External"/><Relationship Id="rId215" Type="http://schemas.openxmlformats.org/officeDocument/2006/relationships/hyperlink" Target="https://cloudinary.images-iherb.com/image/upload/f_auto,q_auto:eco/images/adn/adn00230/l/63.jpg" TargetMode="External"/><Relationship Id="rId236" Type="http://schemas.openxmlformats.org/officeDocument/2006/relationships/hyperlink" Target="https://cloudinary.images-iherb.com/image/upload/f_auto,q_auto:eco/images/adn/adn00223/l/61.jpg" TargetMode="External"/><Relationship Id="rId257" Type="http://schemas.openxmlformats.org/officeDocument/2006/relationships/hyperlink" Target="https://cloudinary.images-iherb.com/image/upload/f_auto,q_auto:eco/images/adn/adn00204/v/36.jpg" TargetMode="External"/><Relationship Id="rId278" Type="http://schemas.openxmlformats.org/officeDocument/2006/relationships/hyperlink" Target="https://cloudinary.images-iherb.com/image/upload/f_auto,q_auto:eco/images/adn/adn11931/l/37.jpg" TargetMode="External"/><Relationship Id="rId401" Type="http://schemas.openxmlformats.org/officeDocument/2006/relationships/hyperlink" Target="https://eatandeandream.com/cdn/shop/products/bulk-turmeric-spaghetti_1024x1024@2x.jpg?v=1721414837" TargetMode="External"/><Relationship Id="rId422" Type="http://schemas.openxmlformats.org/officeDocument/2006/relationships/hyperlink" Target="https://alpinepeaksmt.com/cdn/shop/files/Honey_and_Propolis_Lozengers_-_Eucalyptus.webp?v=1737987808&amp;width=1646" TargetMode="External"/><Relationship Id="rId443" Type="http://schemas.openxmlformats.org/officeDocument/2006/relationships/hyperlink" Target="https://honeyshoppe.com/cdn/shop/files/AFLEFT_960x.png?v=1705894089" TargetMode="External"/><Relationship Id="rId464" Type="http://schemas.openxmlformats.org/officeDocument/2006/relationships/hyperlink" Target="https://cloudinary.images-iherb.com/image/upload/f_auto,q_auto:eco/images/ahr/ahr08100/v/8.jpg" TargetMode="External"/><Relationship Id="rId303" Type="http://schemas.openxmlformats.org/officeDocument/2006/relationships/hyperlink" Target="https://cloudinary.images-iherb.com/image/upload/f_auto,q_auto:eco/images/adn/adn02019/v/46.jpg" TargetMode="External"/><Relationship Id="rId485" Type="http://schemas.openxmlformats.org/officeDocument/2006/relationships/hyperlink" Target="https://cloudinary.images-iherb.com/image/upload/f_auto,q_auto:eco/images/ahr/ahr11008/l/14.jpg" TargetMode="External"/><Relationship Id="rId42" Type="http://schemas.openxmlformats.org/officeDocument/2006/relationships/hyperlink" Target="https://s38167.pcdn.co/wp-content/uploads/2020/11/MoreMoistureConditioningMist_CoconutMilk_Front_449_8oz.png" TargetMode="External"/><Relationship Id="rId84" Type="http://schemas.openxmlformats.org/officeDocument/2006/relationships/hyperlink" Target="https://s38167.pcdn.co/wp-content/uploads/2023/02/SheerMineralFaceLotion_SPF50_2oz_New_Tube_Front_Render-2.png" TargetMode="External"/><Relationship Id="rId138" Type="http://schemas.openxmlformats.org/officeDocument/2006/relationships/hyperlink" Target="https://allterrainco.com/cdn/shop/products/6-08503-05071-5_PoisonIvyOakBar4oz_03_1200x.jpg?v=1622755125" TargetMode="External"/><Relationship Id="rId345" Type="http://schemas.openxmlformats.org/officeDocument/2006/relationships/hyperlink" Target="https://m.media-amazon.com/images/I/71fT51ZaeyL._SX679_.jpg" TargetMode="External"/><Relationship Id="rId387" Type="http://schemas.openxmlformats.org/officeDocument/2006/relationships/hyperlink" Target="https://m.media-amazon.com/images/I/A1P7niOE+tL._SY879_.jpg" TargetMode="External"/><Relationship Id="rId191" Type="http://schemas.openxmlformats.org/officeDocument/2006/relationships/hyperlink" Target="https://www.vitacost.com/Images/Products/500/Andalou-Naturals/Andalou-Naturals-Nourishing-Body-Butter-Kukui-Cocoa-859975002188.jpg" TargetMode="External"/><Relationship Id="rId205" Type="http://schemas.openxmlformats.org/officeDocument/2006/relationships/hyperlink" Target="https://cloudinary.images-iherb.com/image/upload/f_auto,q_auto:eco/images/adn/adn11960/v/55.jpg" TargetMode="External"/><Relationship Id="rId247" Type="http://schemas.openxmlformats.org/officeDocument/2006/relationships/hyperlink" Target="https://m.media-amazon.com/images/I/81KQD5jbGdL._SX679_.jpg" TargetMode="External"/><Relationship Id="rId412" Type="http://schemas.openxmlformats.org/officeDocument/2006/relationships/hyperlink" Target="https://honeyshoppe.com/cdn/shop/products/20200509_221959_1_960x.jpg?v=1705895929" TargetMode="External"/><Relationship Id="rId107" Type="http://schemas.openxmlformats.org/officeDocument/2006/relationships/hyperlink" Target="https://www.vitacost.com/Images/Products/500/All-Terrain/All-Terrain-Kids-Bandages-Latex-Free-Non-Stick-Pad-Tan-608503050012.jpg" TargetMode="External"/><Relationship Id="rId289" Type="http://schemas.openxmlformats.org/officeDocument/2006/relationships/hyperlink" Target="https://m.media-amazon.com/images/I/61UjuxhsqrL._SY879_.jpg" TargetMode="External"/><Relationship Id="rId454" Type="http://schemas.openxmlformats.org/officeDocument/2006/relationships/hyperlink" Target="https://honeyshoppe.com/cdn/shop/files/PropolisThroatSpraywithHerbs_720x.png?v=1705893927" TargetMode="External"/><Relationship Id="rId496" Type="http://schemas.openxmlformats.org/officeDocument/2006/relationships/hyperlink" Target="https://cloudinary.images-iherb.com/image/upload/f_auto,q_auto:eco/images/ahr/ahr61004/v/8.jpg" TargetMode="External"/><Relationship Id="rId11" Type="http://schemas.openxmlformats.org/officeDocument/2006/relationships/hyperlink" Target="https://absnutrition.com/cdn/shop/files/AbsNut-NewLabelCapsules-Collagen_grande.jpg?v=1703883074" TargetMode="External"/><Relationship Id="rId53" Type="http://schemas.openxmlformats.org/officeDocument/2006/relationships/hyperlink" Target="https://s38167.pcdn.co/wp-content/uploads/2023/02/HawClear_SPF30_Spray_Front_Render.png" TargetMode="External"/><Relationship Id="rId149" Type="http://schemas.openxmlformats.org/officeDocument/2006/relationships/hyperlink" Target="https://cloudinary.images-iherb.com/image/upload/f_auto,q_auto:eco/images/adn/adn00269/v/86.jpg" TargetMode="External"/><Relationship Id="rId314" Type="http://schemas.openxmlformats.org/officeDocument/2006/relationships/hyperlink" Target="https://m.media-amazon.com/images/I/71ow1D6px9L._SX679_.jpg" TargetMode="External"/><Relationship Id="rId356" Type="http://schemas.openxmlformats.org/officeDocument/2006/relationships/hyperlink" Target="https://cloudinary.images-iherb.com/image/upload/f_auto,q_auto:eco/images/adn/adn00201/v/35.jpg" TargetMode="External"/><Relationship Id="rId398" Type="http://schemas.openxmlformats.org/officeDocument/2006/relationships/hyperlink" Target="https://eatandeandream.com/cdn/shop/files/turmeric-penne-nutrition_1024x1024@2x.jpg?v=1721414528" TargetMode="External"/><Relationship Id="rId95" Type="http://schemas.openxmlformats.org/officeDocument/2006/relationships/hyperlink" Target="https://s38167.pcdn.co/wp-content/uploads/2023/02/Alba_Sport_SPF50_Spray_Back_Render-1.png" TargetMode="External"/><Relationship Id="rId160" Type="http://schemas.openxmlformats.org/officeDocument/2006/relationships/hyperlink" Target="https://www.vitacost.com/Images/Products/500/Andalou-Naturals/Andalou-Naturals-Facial-Lotion-Age-Defying-Ultra-Sheer-Daily-Defense-Mineral-SPF-30-850018119658.jpg" TargetMode="External"/><Relationship Id="rId216" Type="http://schemas.openxmlformats.org/officeDocument/2006/relationships/hyperlink" Target="https://cloudinary.images-iherb.com/image/upload/f_auto,q_auto:eco/images/adn/adn00226/l/71.jpg" TargetMode="External"/><Relationship Id="rId423" Type="http://schemas.openxmlformats.org/officeDocument/2006/relationships/hyperlink" Target="https://m.media-amazon.com/images/I/71OX4n+jGxL._AC_SX679_.jpg" TargetMode="External"/><Relationship Id="rId258" Type="http://schemas.openxmlformats.org/officeDocument/2006/relationships/hyperlink" Target="https://cloudinary.images-iherb.com/image/upload/f_auto,q_auto:eco/images/adn/adn02069/l/25.jpg" TargetMode="External"/><Relationship Id="rId465" Type="http://schemas.openxmlformats.org/officeDocument/2006/relationships/hyperlink" Target="https://cloudinary.images-iherb.com/image/upload/f_auto,q_auto:eco/images/ahr/ahr09100/l/10.jpg" TargetMode="External"/><Relationship Id="rId22" Type="http://schemas.openxmlformats.org/officeDocument/2006/relationships/hyperlink" Target="https://s38167.pcdn.co/wp-content/uploads/2019/11/Acnedote-Deep-Pore-Wash-front.png" TargetMode="External"/><Relationship Id="rId64" Type="http://schemas.openxmlformats.org/officeDocument/2006/relationships/hyperlink" Target="https://s38167.pcdn.co/wp-content/uploads/2023/02/Alba-Botanica-Hawaiian-Island-Vibe-SPF50-Sunscreen-Lotion-3oz-Front-Render.png" TargetMode="External"/><Relationship Id="rId118" Type="http://schemas.openxmlformats.org/officeDocument/2006/relationships/hyperlink" Target="https://cloudinary.images-iherb.com/image/upload/f_auto,q_auto:eco/images/alt/alt05042/v/37.jpg" TargetMode="External"/><Relationship Id="rId325" Type="http://schemas.openxmlformats.org/officeDocument/2006/relationships/hyperlink" Target="https://cloudinary.images-iherb.com/image/upload/f_auto,q_auto:eco/images/adn/adn11940/l/12.jpg" TargetMode="External"/><Relationship Id="rId367" Type="http://schemas.openxmlformats.org/officeDocument/2006/relationships/hyperlink" Target="https://cloudinary.images-iherb.com/image/upload/f_auto,q_auto:eco/images/adn/adn11979/v/24.jpg" TargetMode="External"/><Relationship Id="rId171" Type="http://schemas.openxmlformats.org/officeDocument/2006/relationships/hyperlink" Target="https://cloudinary.images-iherb.com/image/upload/f_auto,q_auto:eco/images/adn/adn00231/v/71.jpg" TargetMode="External"/><Relationship Id="rId227" Type="http://schemas.openxmlformats.org/officeDocument/2006/relationships/hyperlink" Target="https://m.media-amazon.com/images/I/71pNItjhDNL._SX679_.jpg" TargetMode="External"/><Relationship Id="rId269" Type="http://schemas.openxmlformats.org/officeDocument/2006/relationships/hyperlink" Target="https://sndonline.com/image/cache/data/products/599306-228x228.jpg" TargetMode="External"/><Relationship Id="rId434" Type="http://schemas.openxmlformats.org/officeDocument/2006/relationships/hyperlink" Target="https://honeyshoppe.com/cdn/shop/files/PropolisExtract50_Supplement_960x.png?v=1705894052" TargetMode="External"/><Relationship Id="rId476" Type="http://schemas.openxmlformats.org/officeDocument/2006/relationships/hyperlink" Target="https://cloudinary.images-iherb.com/image/upload/f_auto,q_auto:eco/images/ahr/ahr02100/l/35.jpg" TargetMode="External"/><Relationship Id="rId33" Type="http://schemas.openxmlformats.org/officeDocument/2006/relationships/hyperlink" Target="https://s38167.pcdn.co/wp-content/uploads/2019/11/Intense-Hydration-Whipped-Body-Butter-before-after.jpg" TargetMode="External"/><Relationship Id="rId129" Type="http://schemas.openxmlformats.org/officeDocument/2006/relationships/hyperlink" Target="https://cloudinary.images-iherb.com/image/upload/f_auto,q_auto:eco/images/alt/alt01008/l/17.jpg" TargetMode="External"/><Relationship Id="rId280" Type="http://schemas.openxmlformats.org/officeDocument/2006/relationships/hyperlink" Target="https://cloudinary.images-iherb.com/image/upload/f_auto,q_auto:eco/images/adn/adn11931/v/28.jpg" TargetMode="External"/><Relationship Id="rId336" Type="http://schemas.openxmlformats.org/officeDocument/2006/relationships/hyperlink" Target="https://cloudinary.images-iherb.com/image/upload/f_auto,q_auto:eco/images/adn/adn02011/l/84.jpg" TargetMode="External"/><Relationship Id="rId501" Type="http://schemas.openxmlformats.org/officeDocument/2006/relationships/hyperlink" Target="https://cloudinary.images-iherb.com/image/upload/f_auto,q_auto:eco/images/ahr/ahr70040/l/10.jpg" TargetMode="External"/><Relationship Id="rId75" Type="http://schemas.openxmlformats.org/officeDocument/2006/relationships/hyperlink" Target="https://s38167.pcdn.co/wp-content/uploads/2023/02/Alba-Botanica-Kids-Tropical-Fruit-SPF50-Sunscreen-Spray-5oz-Back-Render.png" TargetMode="External"/><Relationship Id="rId140" Type="http://schemas.openxmlformats.org/officeDocument/2006/relationships/hyperlink" Target="https://cloudinary.images-iherb.com/image/upload/f_auto,q_auto:eco/images/alt/alt04023/l/19.jpg" TargetMode="External"/><Relationship Id="rId182" Type="http://schemas.openxmlformats.org/officeDocument/2006/relationships/hyperlink" Target="https://cloudinary.images-iherb.com/image/upload/f_auto,q_auto:eco/images/adn/adn00235/v/34.jpg" TargetMode="External"/><Relationship Id="rId378" Type="http://schemas.openxmlformats.org/officeDocument/2006/relationships/hyperlink" Target="https://cloudinary.images-iherb.com/image/upload/f_auto,q_auto:eco/images/adn/adn00208/v/60.jpg" TargetMode="External"/><Relationship Id="rId403" Type="http://schemas.openxmlformats.org/officeDocument/2006/relationships/hyperlink" Target="https://www.andeandream.com/assets/images/turmeric-spaghetti-1.png" TargetMode="External"/><Relationship Id="rId6" Type="http://schemas.openxmlformats.org/officeDocument/2006/relationships/hyperlink" Target="https://shop.avogel.ca/cdn/shop/products/avogel-herbamare-spicy-organic-herbed-sea-salt-391889_5000x.jpg?v=1749561689" TargetMode="External"/><Relationship Id="rId238" Type="http://schemas.openxmlformats.org/officeDocument/2006/relationships/hyperlink" Target="https://cloudinary.images-iherb.com/image/upload/f_auto,q_auto:eco/images/adn/adn00223/v/59.jpg" TargetMode="External"/><Relationship Id="rId445" Type="http://schemas.openxmlformats.org/officeDocument/2006/relationships/hyperlink" Target="https://honeyshoppe.com/cdn/shop/files/AF_720x.png?v=1705894089" TargetMode="External"/><Relationship Id="rId487" Type="http://schemas.openxmlformats.org/officeDocument/2006/relationships/hyperlink" Target="https://cloudinary.images-iherb.com/image/upload/f_auto,q_auto:eco/images/ahr/ahr86116/l/15.jpg" TargetMode="External"/><Relationship Id="rId291" Type="http://schemas.openxmlformats.org/officeDocument/2006/relationships/hyperlink" Target="https://m.media-amazon.com/images/I/41RqCi1OAOL.jpg" TargetMode="External"/><Relationship Id="rId305" Type="http://schemas.openxmlformats.org/officeDocument/2006/relationships/hyperlink" Target="https://m.media-amazon.com/images/I/614pAnwZbyL._SL1500_.jpg" TargetMode="External"/><Relationship Id="rId347" Type="http://schemas.openxmlformats.org/officeDocument/2006/relationships/hyperlink" Target="https://m.media-amazon.com/images/I/71ZU5AnewaL._SX679_.jpg" TargetMode="External"/><Relationship Id="rId44" Type="http://schemas.openxmlformats.org/officeDocument/2006/relationships/hyperlink" Target="https://s38167.pcdn.co/wp-content/uploads/2019/11/Intense-Hydration-Body-Oil-back.jpg" TargetMode="External"/><Relationship Id="rId86" Type="http://schemas.openxmlformats.org/officeDocument/2006/relationships/hyperlink" Target="https://s38167.pcdn.co/wp-content/uploads/2023/02/AL01062_SheerMineral_Lotion_FF_SPF30_Front_Render.png" TargetMode="External"/><Relationship Id="rId151" Type="http://schemas.openxmlformats.org/officeDocument/2006/relationships/hyperlink" Target="https://cloudinary.images-iherb.com/image/upload/f_auto,q_auto:eco/images/adn/adn00221/l/38.jpg" TargetMode="External"/><Relationship Id="rId389" Type="http://schemas.openxmlformats.org/officeDocument/2006/relationships/hyperlink" Target="https://m.media-amazon.com/images/I/91GoNCSn5kL._SY879_.jpg" TargetMode="External"/><Relationship Id="rId193" Type="http://schemas.openxmlformats.org/officeDocument/2006/relationships/hyperlink" Target="https://cloudinary.images-iherb.com/image/upload/f_auto,q_auto:eco/images/adn/adn00252/v/74.jpg" TargetMode="External"/><Relationship Id="rId207" Type="http://schemas.openxmlformats.org/officeDocument/2006/relationships/hyperlink" Target="https://cloudinary.images-iherb.com/image/upload/f_auto,q_auto:eco/images/adn/adn00222/r/83.jpg" TargetMode="External"/><Relationship Id="rId249" Type="http://schemas.openxmlformats.org/officeDocument/2006/relationships/hyperlink" Target="https://m.media-amazon.com/images/I/71XqUyOwEZL._SY879_.jpg" TargetMode="External"/><Relationship Id="rId414" Type="http://schemas.openxmlformats.org/officeDocument/2006/relationships/hyperlink" Target="https://honeyshoppe.com/cdn/shop/files/POLLENGRANULES_720x.jpg?v=1705895929" TargetMode="External"/><Relationship Id="rId456" Type="http://schemas.openxmlformats.org/officeDocument/2006/relationships/hyperlink" Target="https://cloudinary.images-iherb.com/image/upload/f_auto,q_auto:eco/images/ahr/ahr70042/l/16.jpg" TargetMode="External"/><Relationship Id="rId498" Type="http://schemas.openxmlformats.org/officeDocument/2006/relationships/hyperlink" Target="https://cloudinary.images-iherb.com/image/upload/f_auto,q_auto:eco/images/ahr/ahr38006/v/8.jpg" TargetMode="External"/><Relationship Id="rId13" Type="http://schemas.openxmlformats.org/officeDocument/2006/relationships/hyperlink" Target="https://absnutrition.com/cdn/shop/products/GCBE_Label_1_grande.jpg?v=1570029273" TargetMode="External"/><Relationship Id="rId109" Type="http://schemas.openxmlformats.org/officeDocument/2006/relationships/hyperlink" Target="https://cloudinary.images-iherb.com/image/upload/f_auto,q_auto:eco/images/alt/alt05004/l/8.jpg" TargetMode="External"/><Relationship Id="rId260" Type="http://schemas.openxmlformats.org/officeDocument/2006/relationships/hyperlink" Target="https://cloudinary.images-iherb.com/image/upload/f_auto,q_auto:eco/images/adn/adn00205/l/43.jpg" TargetMode="External"/><Relationship Id="rId316" Type="http://schemas.openxmlformats.org/officeDocument/2006/relationships/hyperlink" Target="https://m.media-amazon.com/images/I/81LbsmjZiIL._AC_SY879_.jpg" TargetMode="External"/><Relationship Id="rId55" Type="http://schemas.openxmlformats.org/officeDocument/2006/relationships/hyperlink" Target="https://sndonline.com/image/cache/data/additional_product_images/247238-1-500x500.gif" TargetMode="External"/><Relationship Id="rId97" Type="http://schemas.openxmlformats.org/officeDocument/2006/relationships/hyperlink" Target="https://m.media-amazon.com/images/I/71eF6atV4bL._US900_.jpg" TargetMode="External"/><Relationship Id="rId120" Type="http://schemas.openxmlformats.org/officeDocument/2006/relationships/hyperlink" Target="https://allterrainco.com/cdn/shop/products/6-08503-05244-3_KidsEczemaSoap_1_1200x.jpg?v=1622754865" TargetMode="External"/><Relationship Id="rId358" Type="http://schemas.openxmlformats.org/officeDocument/2006/relationships/hyperlink" Target="https://cloudinary.images-iherb.com/image/upload/f_auto,q_auto:eco/images/adn/adn02068/v/37.jpg" TargetMode="External"/><Relationship Id="rId162" Type="http://schemas.openxmlformats.org/officeDocument/2006/relationships/hyperlink" Target="https://cloudinary.images-iherb.com/image/upload/f_auto,q_auto:eco/images/adn/adn00233/l/30.jpg" TargetMode="External"/><Relationship Id="rId218" Type="http://schemas.openxmlformats.org/officeDocument/2006/relationships/hyperlink" Target="https://cloudinary.images-iherb.com/image/upload/f_auto,q_auto:eco/images/adn/adn00226/r/73.jpg" TargetMode="External"/><Relationship Id="rId425" Type="http://schemas.openxmlformats.org/officeDocument/2006/relationships/hyperlink" Target="https://m.media-amazon.com/images/I/71uEWScFwFL._AC_SX679_.jpg" TargetMode="External"/><Relationship Id="rId467" Type="http://schemas.openxmlformats.org/officeDocument/2006/relationships/hyperlink" Target="https://cloudinary.images-iherb.com/image/upload/f_auto,q_auto:eco/images/ahr/ahr86204/l/10.jpg" TargetMode="External"/><Relationship Id="rId271" Type="http://schemas.openxmlformats.org/officeDocument/2006/relationships/hyperlink" Target="https://cloudinary.images-iherb.com/image/upload/f_auto,q_auto:eco/images/adn/adn11913/l/31.jpg" TargetMode="External"/><Relationship Id="rId24" Type="http://schemas.openxmlformats.org/officeDocument/2006/relationships/hyperlink" Target="https://s38167.pcdn.co/wp-content/uploads/2019/11/Acnedote-Deep-Pore-Wash-before-after.png" TargetMode="External"/><Relationship Id="rId66" Type="http://schemas.openxmlformats.org/officeDocument/2006/relationships/hyperlink" Target="https://s38167.pcdn.co/wp-content/uploads/2023/02/Alba_HawClear_SPF70_Spray_Front_Render.png" TargetMode="External"/><Relationship Id="rId131" Type="http://schemas.openxmlformats.org/officeDocument/2006/relationships/hyperlink" Target="https://cloudinary.images-iherb.com/image/upload/f_auto,q_auto:eco/images/alt/alt01008/v/13.jpg" TargetMode="External"/><Relationship Id="rId327" Type="http://schemas.openxmlformats.org/officeDocument/2006/relationships/hyperlink" Target="https://cloudinary.images-iherb.com/image/upload/f_auto,q_auto:eco/images/adn/adn11940/l/15.jpg" TargetMode="External"/><Relationship Id="rId369" Type="http://schemas.openxmlformats.org/officeDocument/2006/relationships/hyperlink" Target="https://cloudinary.images-iherb.com/image/upload/f_auto,q_auto:eco/images/adn/adn11984/v/8.jpg" TargetMode="External"/><Relationship Id="rId173" Type="http://schemas.openxmlformats.org/officeDocument/2006/relationships/hyperlink" Target="https://www.vitacost.com/Images/Products/500/Andalou-Naturals/Andalou-Naturals-Age-Defying-Rejuvenating-Sleeping-Mask-850018119221.jpg" TargetMode="External"/><Relationship Id="rId229" Type="http://schemas.openxmlformats.org/officeDocument/2006/relationships/hyperlink" Target="https://m.media-amazon.com/images/I/61fk9l4I1vL._SX679_.jpg" TargetMode="External"/><Relationship Id="rId380" Type="http://schemas.openxmlformats.org/officeDocument/2006/relationships/hyperlink" Target="https://m.media-amazon.com/images/I/61-rL6jv6WL._SX679_.jpg" TargetMode="External"/><Relationship Id="rId436" Type="http://schemas.openxmlformats.org/officeDocument/2006/relationships/hyperlink" Target="https://honeyshoppe.com/cdn/shop/files/PropolisExtract25_Left_1024x1024.png?v=1705894014" TargetMode="External"/><Relationship Id="rId240" Type="http://schemas.openxmlformats.org/officeDocument/2006/relationships/hyperlink" Target="https://cloudinary.images-iherb.com/image/upload/f_auto,q_auto:eco/images/adn/adn11964/l/11.jpg" TargetMode="External"/><Relationship Id="rId478" Type="http://schemas.openxmlformats.org/officeDocument/2006/relationships/hyperlink" Target="https://cloudinary.images-iherb.com/image/upload/f_auto,q_auto:eco/images/ahr/ahr70046/l/22.jpg" TargetMode="External"/><Relationship Id="rId35" Type="http://schemas.openxmlformats.org/officeDocument/2006/relationships/hyperlink" Target="https://s38167.pcdn.co/wp-content/uploads/2019/11/Intense-Hydration-Body-Oil-front-1.png" TargetMode="External"/><Relationship Id="rId77" Type="http://schemas.openxmlformats.org/officeDocument/2006/relationships/hyperlink" Target="https://s38167.pcdn.co/wp-content/uploads/2023/02/Alba_Sensitive_FF_SPF50_Spray_Front_Render-1.png" TargetMode="External"/><Relationship Id="rId100" Type="http://schemas.openxmlformats.org/officeDocument/2006/relationships/hyperlink" Target="https://s38167.pcdn.co/wp-content/uploads/2023/02/Sunless_Tanner_Front_Render-1.png" TargetMode="External"/><Relationship Id="rId282" Type="http://schemas.openxmlformats.org/officeDocument/2006/relationships/hyperlink" Target="https://m.media-amazon.com/images/I/71UNU5QUSbL._SX679_.jpg" TargetMode="External"/><Relationship Id="rId338" Type="http://schemas.openxmlformats.org/officeDocument/2006/relationships/hyperlink" Target="https://cloudinary.images-iherb.com/image/upload/f_auto,q_auto:eco/images/adn/adn02008/l/64.jpg" TargetMode="External"/><Relationship Id="rId8" Type="http://schemas.openxmlformats.org/officeDocument/2006/relationships/hyperlink" Target="https://absnutrition.com/cdn/shop/files/3DCapsulesBottle-Berberine_grande.jpg?v=1703882401" TargetMode="External"/><Relationship Id="rId142" Type="http://schemas.openxmlformats.org/officeDocument/2006/relationships/hyperlink" Target="https://allterrainco.com/cdn/shop/products/6-08503-05008-1_RolledGauze_1200x.jpg?v=1622763118" TargetMode="External"/><Relationship Id="rId184" Type="http://schemas.openxmlformats.org/officeDocument/2006/relationships/hyperlink" Target="https://cloudinary.images-iherb.com/image/upload/f_auto,q_auto:eco/images/adn/adn11905/l/35.jpg" TargetMode="External"/><Relationship Id="rId391" Type="http://schemas.openxmlformats.org/officeDocument/2006/relationships/hyperlink" Target="https://storage.googleapis.com/images-prs-prd-c7e7986.prs.prd.v8.commerce.mi9cloud.com/product-images/detail/00893470001208_20" TargetMode="External"/><Relationship Id="rId405" Type="http://schemas.openxmlformats.org/officeDocument/2006/relationships/hyperlink" Target="https://eatandeandream.com/cdn/shop/products/pasta-img-1-06_110x110@2x.jpg?v=1721414810" TargetMode="External"/><Relationship Id="rId447" Type="http://schemas.openxmlformats.org/officeDocument/2006/relationships/hyperlink" Target="https://honeyshoppe.com/cdn/shop/files/PropolisManukaSprayLeft_960x.png?v=1705893816" TargetMode="External"/><Relationship Id="rId251" Type="http://schemas.openxmlformats.org/officeDocument/2006/relationships/hyperlink" Target="https://cloudinary.images-iherb.com/image/upload/f_auto,q_auto:eco/images/adn/adn00206/v/60.jpg" TargetMode="External"/><Relationship Id="rId489" Type="http://schemas.openxmlformats.org/officeDocument/2006/relationships/hyperlink" Target="https://cloudinary.images-iherb.com/image/upload/f_auto,q_auto:eco/images/ahr/ahr76001/l/12.jpg" TargetMode="External"/><Relationship Id="rId46" Type="http://schemas.openxmlformats.org/officeDocument/2006/relationships/hyperlink" Target="https://www.vitacost.com/Images/Products/500/Alba/Alba-Botanica-Hawaiian-Body-Scrub-Sea-Salt-724742008185.jpg" TargetMode="External"/><Relationship Id="rId293" Type="http://schemas.openxmlformats.org/officeDocument/2006/relationships/hyperlink" Target="https://m.media-amazon.com/images/I/71jCnOIq8iL._SY879_.jpg" TargetMode="External"/><Relationship Id="rId307" Type="http://schemas.openxmlformats.org/officeDocument/2006/relationships/hyperlink" Target="https://m.media-amazon.com/images/I/71zKe5PrDzL._AC_SX679_.jpg" TargetMode="External"/><Relationship Id="rId349" Type="http://schemas.openxmlformats.org/officeDocument/2006/relationships/hyperlink" Target="https://cloudinary.images-iherb.com/image/upload/f_auto,q_auto:eco/images/adn/adn02064/l/29.jpg" TargetMode="External"/><Relationship Id="rId88" Type="http://schemas.openxmlformats.org/officeDocument/2006/relationships/hyperlink" Target="https://s38167.pcdn.co/wp-content/uploads/2023/02/SheerMineralFaceLotion_SPF50_2oz_New_Tube_Front_Render-2.png" TargetMode="External"/><Relationship Id="rId111" Type="http://schemas.openxmlformats.org/officeDocument/2006/relationships/hyperlink" Target="https://cloudinary.images-iherb.com/image/upload/f_auto,q_auto:eco/images/alt/alt05006/r/15.jpg" TargetMode="External"/><Relationship Id="rId153" Type="http://schemas.openxmlformats.org/officeDocument/2006/relationships/hyperlink" Target="https://cloudinary.images-iherb.com/image/upload/f_auto,q_auto:eco/images/adn/adn00268/l/82.jpg" TargetMode="External"/><Relationship Id="rId195" Type="http://schemas.openxmlformats.org/officeDocument/2006/relationships/hyperlink" Target="https://cloudinary.images-iherb.com/image/upload/f_auto,q_auto:eco/images/adn/adn00252/l/65.jpg" TargetMode="External"/><Relationship Id="rId209" Type="http://schemas.openxmlformats.org/officeDocument/2006/relationships/hyperlink" Target="https://cloudinary.images-iherb.com/image/upload/f_auto,q_auto:eco/images/adn/adn00236/l/37.jpg" TargetMode="External"/><Relationship Id="rId360" Type="http://schemas.openxmlformats.org/officeDocument/2006/relationships/hyperlink" Target="https://cloudinary.images-iherb.com/image/upload/f_auto,q_auto:eco/images/adn/adn00202/l/38.jpg" TargetMode="External"/><Relationship Id="rId416" Type="http://schemas.openxmlformats.org/officeDocument/2006/relationships/hyperlink" Target="https://alpinepeaksmt.com/cdn/shop/files/BeePollen1.webp?v=1737991007&amp;width=1646" TargetMode="External"/><Relationship Id="rId220" Type="http://schemas.openxmlformats.org/officeDocument/2006/relationships/hyperlink" Target="https://cloudinary.images-iherb.com/image/upload/f_auto,q_auto:eco/images/adn/adn00254/l/35.jpg" TargetMode="External"/><Relationship Id="rId458" Type="http://schemas.openxmlformats.org/officeDocument/2006/relationships/hyperlink" Target="https://www.vitacost.com/Images/Products/500/Almased/Almased-Dietary-Supplement-for-Weight-Management-Almond-Vanilla-688449258772.jpg" TargetMode="External"/><Relationship Id="rId15" Type="http://schemas.openxmlformats.org/officeDocument/2006/relationships/hyperlink" Target="https://cloudinary.images-iherb.com/image/upload/f_auto,q_auto:eco/images/abn/abn09020/l/8.jpg" TargetMode="External"/><Relationship Id="rId57" Type="http://schemas.openxmlformats.org/officeDocument/2006/relationships/hyperlink" Target="https://s38167.pcdn.co/wp-content/uploads/2023/02/Alba-Botanica-Hawaiian-Island-Vibe-SPF50-Sunscreen-Lotion-3oz-Back-Render.png" TargetMode="External"/><Relationship Id="rId262" Type="http://schemas.openxmlformats.org/officeDocument/2006/relationships/hyperlink" Target="https://m.media-amazon.com/images/I/71-13mg4JEL._SX679_.jpg" TargetMode="External"/><Relationship Id="rId318" Type="http://schemas.openxmlformats.org/officeDocument/2006/relationships/hyperlink" Target="https://m.media-amazon.com/images/I/610ZqhBubSL._SX679_.jpg" TargetMode="External"/><Relationship Id="rId99" Type="http://schemas.openxmlformats.org/officeDocument/2006/relationships/hyperlink" Target="https://s38167.pcdn.co/wp-content/uploads/2023/02/Sunless_Tanner_Back_Render-3.png" TargetMode="External"/><Relationship Id="rId122" Type="http://schemas.openxmlformats.org/officeDocument/2006/relationships/hyperlink" Target="https://allterrainco.com/cdn/shop/products/6-08503-05254-2_EczemaSoothingSoap4oz_01_1200x.jpg?v=1622754762" TargetMode="External"/><Relationship Id="rId164" Type="http://schemas.openxmlformats.org/officeDocument/2006/relationships/hyperlink" Target="https://cloudinary.images-iherb.com/image/upload/f_auto,q_auto:eco/images/adn/adn00229/l/46.jpg" TargetMode="External"/><Relationship Id="rId371" Type="http://schemas.openxmlformats.org/officeDocument/2006/relationships/hyperlink" Target="https://m.media-amazon.com/images/I/61gHrQ385yL._SX679_.jpg" TargetMode="External"/><Relationship Id="rId427" Type="http://schemas.openxmlformats.org/officeDocument/2006/relationships/hyperlink" Target="https://honeyshoppe.com/cdn/shop/files/PropolisNasalSpray_720x.png?v=1705893971" TargetMode="External"/><Relationship Id="rId469" Type="http://schemas.openxmlformats.org/officeDocument/2006/relationships/hyperlink" Target="https://cloudinary.images-iherb.com/image/upload/f_auto,q_auto:eco/images/ahr/ahr12001/l/17.jpg" TargetMode="External"/><Relationship Id="rId26" Type="http://schemas.openxmlformats.org/officeDocument/2006/relationships/hyperlink" Target="https://s38167.pcdn.co/wp-content/uploads/2019/11/face-and-body-scurb-back.jpg" TargetMode="External"/><Relationship Id="rId231" Type="http://schemas.openxmlformats.org/officeDocument/2006/relationships/hyperlink" Target="https://sndonline.com/image/cache/data/products/599724-500x500.jpg" TargetMode="External"/><Relationship Id="rId273" Type="http://schemas.openxmlformats.org/officeDocument/2006/relationships/hyperlink" Target="https://cloudinary.images-iherb.com/image/upload/f_auto,q_auto:eco/images/adn/adn11913/l/27.jpg" TargetMode="External"/><Relationship Id="rId329" Type="http://schemas.openxmlformats.org/officeDocument/2006/relationships/hyperlink" Target="https://cloudinary.images-iherb.com/image/upload/f_auto,q_auto:eco/images/adn/adn11962/l/19.jpg" TargetMode="External"/><Relationship Id="rId480" Type="http://schemas.openxmlformats.org/officeDocument/2006/relationships/hyperlink" Target="https://cloudinary.images-iherb.com/image/upload/f_auto,q_auto:eco/images/ahr/ahr70042/v/10.jpg" TargetMode="External"/><Relationship Id="rId68" Type="http://schemas.openxmlformats.org/officeDocument/2006/relationships/hyperlink" Target="https://s38167.pcdn.co/wp-content/uploads/2019/11/AL00364_VEBL-Coconut-Rescue-Lotion_32oz_Before-After.jpg" TargetMode="External"/><Relationship Id="rId133" Type="http://schemas.openxmlformats.org/officeDocument/2006/relationships/hyperlink" Target="https://allterrainco.com/cdn/shop/files/image002_1200x.jpg?v=1738681234" TargetMode="External"/><Relationship Id="rId175" Type="http://schemas.openxmlformats.org/officeDocument/2006/relationships/hyperlink" Target="https://cloudinary.images-iherb.com/image/upload/f_auto,q_auto:eco/images/adn/adn00232/l/41.jpg" TargetMode="External"/><Relationship Id="rId340" Type="http://schemas.openxmlformats.org/officeDocument/2006/relationships/hyperlink" Target="https://cloudinary.images-iherb.com/image/upload/f_auto,q_auto:eco/images/adn/adn02008/v/62.jpg" TargetMode="External"/><Relationship Id="rId200" Type="http://schemas.openxmlformats.org/officeDocument/2006/relationships/hyperlink" Target="https://cloudinary.images-iherb.com/image/upload/f_auto,q_auto:eco/images/adn/adn00246/l/42.jpg" TargetMode="External"/><Relationship Id="rId382" Type="http://schemas.openxmlformats.org/officeDocument/2006/relationships/hyperlink" Target="https://cloudinary.images-iherb.com/image/upload/f_auto,q_auto:eco/images/adn/adn00239/l/36.jpg" TargetMode="External"/><Relationship Id="rId438" Type="http://schemas.openxmlformats.org/officeDocument/2006/relationships/hyperlink" Target="https://honeyshoppe.com/cdn/shop/files/PropolisExtract25_720x.png?v=1705894014" TargetMode="External"/><Relationship Id="rId242" Type="http://schemas.openxmlformats.org/officeDocument/2006/relationships/hyperlink" Target="https://cloudinary.images-iherb.com/image/upload/f_auto,q_auto:eco/images/adn/adn00247/l/67.jpg" TargetMode="External"/><Relationship Id="rId284" Type="http://schemas.openxmlformats.org/officeDocument/2006/relationships/hyperlink" Target="https://cloudinary.images-iherb.com/image/upload/f_auto,q_auto:eco/images/adn/adn00266/v/47.jpg" TargetMode="External"/><Relationship Id="rId491" Type="http://schemas.openxmlformats.org/officeDocument/2006/relationships/hyperlink" Target="https://cloudinary.images-iherb.com/image/upload/f_auto,q_auto:eco/images/ahr/ahr76006/l/16.jpg" TargetMode="External"/><Relationship Id="rId37" Type="http://schemas.openxmlformats.org/officeDocument/2006/relationships/hyperlink" Target="https://s38167.pcdn.co/wp-content/uploads/2019/11/Alba-Botanica-Ultra-Hydrating-Moisturizing-Cream__-back.png" TargetMode="External"/><Relationship Id="rId79" Type="http://schemas.openxmlformats.org/officeDocument/2006/relationships/hyperlink" Target="https://s38167.pcdn.co/wp-content/uploads/2019/11/baby-mineral-front.png" TargetMode="External"/><Relationship Id="rId102" Type="http://schemas.openxmlformats.org/officeDocument/2006/relationships/hyperlink" Target="https://cloudinary.images-iherb.com/image/upload/f_auto,q_auto:eco/images/alt/alt43007/v/11.jpg" TargetMode="External"/><Relationship Id="rId144" Type="http://schemas.openxmlformats.org/officeDocument/2006/relationships/hyperlink" Target="https://cloudinary.images-iherb.com/image/upload/f_auto,q_auto:eco/images/alt/alt05009/l/7.jpg" TargetMode="External"/><Relationship Id="rId90" Type="http://schemas.openxmlformats.org/officeDocument/2006/relationships/hyperlink" Target="https://s38167.pcdn.co/wp-content/uploads/2023/02/Alba_SheerMineral_SPF30_Spray_Front_Render.png" TargetMode="External"/><Relationship Id="rId186" Type="http://schemas.openxmlformats.org/officeDocument/2006/relationships/hyperlink" Target="https://cloudinary.images-iherb.com/image/upload/f_auto,q_auto:eco/images/adn/adn11905/v/37.jpg" TargetMode="External"/><Relationship Id="rId351" Type="http://schemas.openxmlformats.org/officeDocument/2006/relationships/hyperlink" Target="https://cloudinary.images-iherb.com/image/upload/f_auto,q_auto:eco/images/adn/adn02079/l/16.jpg" TargetMode="External"/><Relationship Id="rId393" Type="http://schemas.openxmlformats.org/officeDocument/2006/relationships/hyperlink" Target="https://m.media-amazon.com/images/I/51ZNvRM13GL._SX679_.jpg" TargetMode="External"/><Relationship Id="rId407" Type="http://schemas.openxmlformats.org/officeDocument/2006/relationships/hyperlink" Target="https://www.andeandream.com/assets/images/pasta-1-06.png" TargetMode="External"/><Relationship Id="rId449" Type="http://schemas.openxmlformats.org/officeDocument/2006/relationships/hyperlink" Target="https://honeyshoppe.com/cdn/shop/files/PropolisSpraySupplement_960x.png?v=1709167437" TargetMode="External"/><Relationship Id="rId211" Type="http://schemas.openxmlformats.org/officeDocument/2006/relationships/hyperlink" Target="https://cloudinary.images-iherb.com/image/upload/f_auto,q_auto:eco/images/adn/adn00236/l/39.jpg" TargetMode="External"/><Relationship Id="rId253" Type="http://schemas.openxmlformats.org/officeDocument/2006/relationships/hyperlink" Target="https://cloudinary.images-iherb.com/image/upload/f_auto,q_auto:eco/images/adn/adn02080/v/26.jpg" TargetMode="External"/><Relationship Id="rId295" Type="http://schemas.openxmlformats.org/officeDocument/2006/relationships/hyperlink" Target="https://m.media-amazon.com/images/I/71LQonHcrKL._SY879_.jpg" TargetMode="External"/><Relationship Id="rId309" Type="http://schemas.openxmlformats.org/officeDocument/2006/relationships/hyperlink" Target="https://m.media-amazon.com/images/I/81NVQ1FGw-L._AC_SX679_.jpg" TargetMode="External"/><Relationship Id="rId460" Type="http://schemas.openxmlformats.org/officeDocument/2006/relationships/hyperlink" Target="https://cloudinary.images-iherb.com/image/upload/f_auto,q_auto:eco/images/ahr/ahr22060/r/14.jpg" TargetMode="External"/><Relationship Id="rId48" Type="http://schemas.openxmlformats.org/officeDocument/2006/relationships/hyperlink" Target="https://s38167.pcdn.co/wp-content/uploads/2020/01/MangShampoo32_AL00858_TN1_1000.png" TargetMode="External"/><Relationship Id="rId113" Type="http://schemas.openxmlformats.org/officeDocument/2006/relationships/hyperlink" Target="https://cloudinary.images-iherb.com/image/upload/f_auto,q_auto:eco/images/alt/alt06002/l/17.jpg" TargetMode="External"/><Relationship Id="rId320" Type="http://schemas.openxmlformats.org/officeDocument/2006/relationships/hyperlink" Target="https://m.media-amazon.com/images/I/61j7KruXtNL._SY879_.jpg" TargetMode="External"/><Relationship Id="rId155" Type="http://schemas.openxmlformats.org/officeDocument/2006/relationships/hyperlink" Target="https://cloudinary.images-iherb.com/image/upload/f_auto,q_auto:eco/images/adn/adn00221/l/40.jpg" TargetMode="External"/><Relationship Id="rId197" Type="http://schemas.openxmlformats.org/officeDocument/2006/relationships/hyperlink" Target="https://cloudinary.images-iherb.com/image/upload/f_auto,q_auto:eco/images/adn/adn00250/l/39.jpg" TargetMode="External"/><Relationship Id="rId362" Type="http://schemas.openxmlformats.org/officeDocument/2006/relationships/hyperlink" Target="https://m.media-amazon.com/images/I/41Ex7c+N6JL._SX679_.jpg" TargetMode="External"/><Relationship Id="rId418" Type="http://schemas.openxmlformats.org/officeDocument/2006/relationships/hyperlink" Target="https://alpinepeaksmt.com/cdn/shop/files/Honey_and_Propolis_-_Assorted_Flavors_2.webp?v=1737986184&amp;width=1646" TargetMode="External"/><Relationship Id="rId222" Type="http://schemas.openxmlformats.org/officeDocument/2006/relationships/hyperlink" Target="https://cloudinary.images-iherb.com/image/upload/f_auto,q_auto:eco/images/adn/adn00254/v/32.jpg" TargetMode="External"/><Relationship Id="rId264" Type="http://schemas.openxmlformats.org/officeDocument/2006/relationships/hyperlink" Target="https://m.media-amazon.com/images/I/51eUNbhjsYL._SX679_.jpg" TargetMode="External"/><Relationship Id="rId471" Type="http://schemas.openxmlformats.org/officeDocument/2006/relationships/hyperlink" Target="https://cloudinary.images-iherb.com/image/upload/f_auto,q_auto:eco/images/ahr/ahr12004/v/70.jpg" TargetMode="External"/><Relationship Id="rId17" Type="http://schemas.openxmlformats.org/officeDocument/2006/relationships/hyperlink" Target="https://cloudinary.images-iherb.com/image/upload/f_auto,q_auto:eco/images/abn/abn08857/v/55.jpg" TargetMode="External"/><Relationship Id="rId59" Type="http://schemas.openxmlformats.org/officeDocument/2006/relationships/hyperlink" Target="https://s38167.pcdn.co/wp-content/uploads/2023/02/AL01062_SheerMineral_Lotion_FF_SPF30_Back_Render.png" TargetMode="External"/><Relationship Id="rId124" Type="http://schemas.openxmlformats.org/officeDocument/2006/relationships/hyperlink" Target="https://cloudinary.images-iherb.com/image/upload/f_auto,q_auto:eco/images/alt/alt01013/l/30.jpg" TargetMode="External"/><Relationship Id="rId70" Type="http://schemas.openxmlformats.org/officeDocument/2006/relationships/hyperlink" Target="https://s38167.pcdn.co/wp-content/uploads/2019/11/AL00369_VEBL-Daily-Moisturizing_32oz_Before-After.jpg" TargetMode="External"/><Relationship Id="rId166" Type="http://schemas.openxmlformats.org/officeDocument/2006/relationships/hyperlink" Target="https://cloudinary.images-iherb.com/image/upload/f_auto,q_auto:eco/images/adn/adn00229/l/43.jpg" TargetMode="External"/><Relationship Id="rId331" Type="http://schemas.openxmlformats.org/officeDocument/2006/relationships/hyperlink" Target="https://cloudinary.images-iherb.com/image/upload/f_auto,q_auto:eco/images/adn/adn11962/v/18.jpg" TargetMode="External"/><Relationship Id="rId373" Type="http://schemas.openxmlformats.org/officeDocument/2006/relationships/hyperlink" Target="https://cloudinary.images-iherb.com/image/upload/f_auto,q_auto:eco/images/adn/adn02025/l/57.jpg" TargetMode="External"/><Relationship Id="rId429" Type="http://schemas.openxmlformats.org/officeDocument/2006/relationships/hyperlink" Target="https://honeyshoppe.com/cdn/shop/files/PropolisNasalSpraySupplement_960x.png?v=1705893971" TargetMode="External"/><Relationship Id="rId1" Type="http://schemas.openxmlformats.org/officeDocument/2006/relationships/hyperlink" Target="https://shop.avogel.ca/cdn/shop/products/herbamare-original-organic-herbed-sea-salt-615604_5000x.jpg?v=1658433320" TargetMode="External"/><Relationship Id="rId233" Type="http://schemas.openxmlformats.org/officeDocument/2006/relationships/hyperlink" Target="https://cloudinary.images-iherb.com/image/upload/f_auto,q_auto:eco/images/adn/adn00244/l/37.jpg" TargetMode="External"/><Relationship Id="rId440" Type="http://schemas.openxmlformats.org/officeDocument/2006/relationships/hyperlink" Target="https://honeyshoppe.com/cdn/shop/files/PROPOLIS65_LEFT_960x.png?v=1705894141" TargetMode="External"/><Relationship Id="rId28" Type="http://schemas.openxmlformats.org/officeDocument/2006/relationships/hyperlink" Target="https://s38167.pcdn.co/wp-content/uploads/2020/11/Acnedote_PimplePatches_Back_759_40ct.png" TargetMode="External"/><Relationship Id="rId275" Type="http://schemas.openxmlformats.org/officeDocument/2006/relationships/hyperlink" Target="https://cloudinary.images-iherb.com/image/upload/f_auto,q_auto:eco/images/adn/adn11915/v/29.jpg" TargetMode="External"/><Relationship Id="rId300" Type="http://schemas.openxmlformats.org/officeDocument/2006/relationships/hyperlink" Target="https://cloudinary.images-iherb.com/image/upload/f_auto,q_auto:eco/images/adn/adn11980/v/8.jpg" TargetMode="External"/><Relationship Id="rId482" Type="http://schemas.openxmlformats.org/officeDocument/2006/relationships/hyperlink" Target="https://cloudinary.images-iherb.com/image/upload/f_auto,q_auto:eco/images/ahr/ahr70040/v/13.jpg" TargetMode="External"/><Relationship Id="rId81" Type="http://schemas.openxmlformats.org/officeDocument/2006/relationships/hyperlink" Target="https://s38167.pcdn.co/wp-content/uploads/2023/02/AL01076_SheerMineral_FF-FaceLotion_SPF30_2oz_New_Tube_Back_Render.png" TargetMode="External"/><Relationship Id="rId135" Type="http://schemas.openxmlformats.org/officeDocument/2006/relationships/hyperlink" Target="https://cloudinary.images-iherb.com/image/upload/f_auto,q_auto:eco/images/alt/alt01009/v/20.jpg" TargetMode="External"/><Relationship Id="rId177" Type="http://schemas.openxmlformats.org/officeDocument/2006/relationships/hyperlink" Target="https://cloudinary.images-iherb.com/image/upload/f_auto,q_auto:eco/images/adn/adn00224/l/45.jpg" TargetMode="External"/><Relationship Id="rId342" Type="http://schemas.openxmlformats.org/officeDocument/2006/relationships/hyperlink" Target="https://cloudinary.images-iherb.com/image/upload/f_auto,q_auto:eco/images/adn/adn11944/l/18.jpg" TargetMode="External"/><Relationship Id="rId384" Type="http://schemas.openxmlformats.org/officeDocument/2006/relationships/hyperlink" Target="https://m.media-amazon.com/images/I/71eUvJlnhgL._SX679_.jpg" TargetMode="External"/><Relationship Id="rId202" Type="http://schemas.openxmlformats.org/officeDocument/2006/relationships/hyperlink" Target="https://cloudinary.images-iherb.com/image/upload/f_auto,q_auto:eco/images/adn/adn00246/v/41.jpg" TargetMode="External"/><Relationship Id="rId244" Type="http://schemas.openxmlformats.org/officeDocument/2006/relationships/hyperlink" Target="https://cloudinary.images-iherb.com/image/upload/f_auto,q_auto:eco/images/adn/adn00247/v/65.jpg" TargetMode="External"/><Relationship Id="rId39" Type="http://schemas.openxmlformats.org/officeDocument/2006/relationships/hyperlink" Target="https://s38167.pcdn.co/wp-content/uploads/2019/11/Exfoliating-Facial-Cleanser-before-after.jpg" TargetMode="External"/><Relationship Id="rId286" Type="http://schemas.openxmlformats.org/officeDocument/2006/relationships/hyperlink" Target="https://cloudinary.images-iherb.com/image/upload/f_auto,q_auto:eco/images/adn/adn00220/l/39.jpg" TargetMode="External"/><Relationship Id="rId451" Type="http://schemas.openxmlformats.org/officeDocument/2006/relationships/hyperlink" Target="https://honeyshoppe.com/cdn/shop/files/PropolisSpray_720x.png?v=1709167437" TargetMode="External"/><Relationship Id="rId493" Type="http://schemas.openxmlformats.org/officeDocument/2006/relationships/hyperlink" Target="https://cloudinary.images-iherb.com/image/upload/f_auto,q_auto:eco/images/ahr/ahr61001/l/10.jpg" TargetMode="External"/><Relationship Id="rId50" Type="http://schemas.openxmlformats.org/officeDocument/2006/relationships/hyperlink" Target="https://cloudinary.images-iherb.com/image/upload/f_auto,q_auto:eco/images/alb/alb01236/v/8.jpg" TargetMode="External"/><Relationship Id="rId104" Type="http://schemas.openxmlformats.org/officeDocument/2006/relationships/hyperlink" Target="https://cloudinary.images-iherb.com/image/upload/f_auto,q_auto:eco/images/alt/alt05003/l/19.jpg" TargetMode="External"/><Relationship Id="rId146" Type="http://schemas.openxmlformats.org/officeDocument/2006/relationships/hyperlink" Target="https://cloudinary.images-iherb.com/image/upload/f_auto,q_auto:eco/images/adn/adn00221/v/37.jpg" TargetMode="External"/><Relationship Id="rId188" Type="http://schemas.openxmlformats.org/officeDocument/2006/relationships/hyperlink" Target="https://cloudinary.images-iherb.com/image/upload/f_auto,q_auto:eco/images/adn/adn11904/l/28.jpg" TargetMode="External"/><Relationship Id="rId311" Type="http://schemas.openxmlformats.org/officeDocument/2006/relationships/hyperlink" Target="https://target.scene7.com/is/image/Target/GUEST_8506a0e4-b80c-4b33-83de-a6170c1c1846?wid=1200&amp;hei=1200&amp;qlt=80" TargetMode="External"/><Relationship Id="rId353" Type="http://schemas.openxmlformats.org/officeDocument/2006/relationships/hyperlink" Target="https://cloudinary.images-iherb.com/image/upload/f_auto,q_auto:eco/images/adn/adn00203/l/68.jpg" TargetMode="External"/><Relationship Id="rId395" Type="http://schemas.openxmlformats.org/officeDocument/2006/relationships/hyperlink" Target="https://m.media-amazon.com/images/I/A1NU4FvaEAL._SY879_.jpg" TargetMode="External"/><Relationship Id="rId409" Type="http://schemas.openxmlformats.org/officeDocument/2006/relationships/hyperlink" Target="https://alpinepeaksmt.com/cdn/shop/files/bee_pollen_500mg_90_-_3.webp?v=1739042877&amp;width=1646" TargetMode="External"/><Relationship Id="rId92" Type="http://schemas.openxmlformats.org/officeDocument/2006/relationships/hyperlink" Target="https://s38167.pcdn.co/wp-content/uploads/2023/02/Alba_Sensitive_FF_SPF50_Spray_Front_Render-1.png" TargetMode="External"/><Relationship Id="rId213" Type="http://schemas.openxmlformats.org/officeDocument/2006/relationships/hyperlink" Target="https://cloudinary.images-iherb.com/image/upload/f_auto,q_auto:eco/images/adn/adn00230/l/60.jpg" TargetMode="External"/><Relationship Id="rId420" Type="http://schemas.openxmlformats.org/officeDocument/2006/relationships/hyperlink" Target="https://honeyshoppe.com/cdn/shop/files/ManukaPouch_720x.jpg?v=1699049945" TargetMode="External"/><Relationship Id="rId255" Type="http://schemas.openxmlformats.org/officeDocument/2006/relationships/hyperlink" Target="https://cdn1.skinsafeproducts.com/photo/0CEC815AEDD453/large_1587821459.jpeg?1587821459" TargetMode="External"/><Relationship Id="rId297" Type="http://schemas.openxmlformats.org/officeDocument/2006/relationships/hyperlink" Target="https://cloudinary.images-iherb.com/image/upload/f_auto,q_auto:eco/images/adn/adn11985/l/12.jpg" TargetMode="External"/><Relationship Id="rId462" Type="http://schemas.openxmlformats.org/officeDocument/2006/relationships/hyperlink" Target="https://cloudinary.images-iherb.com/image/upload/f_auto,q_auto:eco/images/ahr/ahr06100/l/11.jpg" TargetMode="External"/><Relationship Id="rId115" Type="http://schemas.openxmlformats.org/officeDocument/2006/relationships/hyperlink" Target="https://cloudinary.images-iherb.com/image/upload/f_auto,q_auto:eco/images/alt/alt06002/l/18.jpg" TargetMode="External"/><Relationship Id="rId157" Type="http://schemas.openxmlformats.org/officeDocument/2006/relationships/hyperlink" Target="https://cloudinary.images-iherb.com/image/upload/f_auto,q_auto:eco/images/adn/adn00249/l/83.jpg" TargetMode="External"/><Relationship Id="rId322" Type="http://schemas.openxmlformats.org/officeDocument/2006/relationships/hyperlink" Target="https://www.kroger.com/product/images/thumbnail/front/0085997502005" TargetMode="External"/><Relationship Id="rId364" Type="http://schemas.openxmlformats.org/officeDocument/2006/relationships/hyperlink" Target="https://www.vitacost.com/Images/Products/500/Andalou-Naturals/Andalou-Naturals-CannaCell-Botanical-Shower-Gel-RITUAL-856932007262.jpg" TargetMode="External"/><Relationship Id="rId61" Type="http://schemas.openxmlformats.org/officeDocument/2006/relationships/hyperlink" Target="https://s38167.pcdn.co/wp-content/uploads/2023/02/Alba-Botanica-Hawaiian-Aloe-Vera-SPF30-Sunscreen-Lotion-3oz-Front-Render.png" TargetMode="External"/><Relationship Id="rId199" Type="http://schemas.openxmlformats.org/officeDocument/2006/relationships/hyperlink" Target="https://cloudinary.images-iherb.com/image/upload/f_auto,q_auto:eco/images/adn/adn00250/v/44.jpg" TargetMode="External"/><Relationship Id="rId19" Type="http://schemas.openxmlformats.org/officeDocument/2006/relationships/hyperlink" Target="https://cloudinary.images-iherb.com/image/upload/f_auto,q_auto:eco/images/abn/abn08847/l/60.jpg" TargetMode="External"/><Relationship Id="rId224" Type="http://schemas.openxmlformats.org/officeDocument/2006/relationships/hyperlink" Target="https://m.media-amazon.com/images/I/61ICLB-lHfL._SY879_.jpg" TargetMode="External"/><Relationship Id="rId266" Type="http://schemas.openxmlformats.org/officeDocument/2006/relationships/hyperlink" Target="https://m.media-amazon.com/images/S/assets.wholefoodsmarket.com/PIE/product/416gE4erAJL._FMwebp__SR100,100_.jpg" TargetMode="External"/><Relationship Id="rId431" Type="http://schemas.openxmlformats.org/officeDocument/2006/relationships/hyperlink" Target="https://alpinepeaksmt.com/cdn/shop/files/propolis_1000mg_2.webp?v=1739043711&amp;width=1646" TargetMode="External"/><Relationship Id="rId473" Type="http://schemas.openxmlformats.org/officeDocument/2006/relationships/hyperlink" Target="https://cloudinary.images-iherb.com/image/upload/f_auto,q_auto:eco/images/ahr/ahr12008/v/37.jpg" TargetMode="External"/><Relationship Id="rId30" Type="http://schemas.openxmlformats.org/officeDocument/2006/relationships/hyperlink" Target="https://s38167.pcdn.co/wp-content/uploads/2019/11/Alba-Botanica-Daily-Oil-free-Hydrating-Moisturizer-before-after.jpg" TargetMode="External"/><Relationship Id="rId126" Type="http://schemas.openxmlformats.org/officeDocument/2006/relationships/hyperlink" Target="https://vitaminlife.com/cdn/shop/files/70442-FACTS-large.jpg?v=1738473992&amp;width=5000" TargetMode="External"/><Relationship Id="rId168" Type="http://schemas.openxmlformats.org/officeDocument/2006/relationships/hyperlink" Target="https://cloudinary.images-iherb.com/image/upload/f_auto,q_auto:eco/images/adn/adn00231/l/72.jpg" TargetMode="External"/><Relationship Id="rId333" Type="http://schemas.openxmlformats.org/officeDocument/2006/relationships/hyperlink" Target="https://cloudinary.images-iherb.com/image/upload/f_auto,q_auto:eco/images/adn/adn02010/l/66.jpg" TargetMode="External"/><Relationship Id="rId72" Type="http://schemas.openxmlformats.org/officeDocument/2006/relationships/hyperlink" Target="https://s38167.pcdn.co/wp-content/uploads/2019/11/daily-moisturizing-lotion-sensitive-skin.png" TargetMode="External"/><Relationship Id="rId375" Type="http://schemas.openxmlformats.org/officeDocument/2006/relationships/hyperlink" Target="https://cloudinary.images-iherb.com/image/upload/f_auto,q_auto:eco/images/adn/adn00210/l/38.jpg" TargetMode="External"/><Relationship Id="rId3" Type="http://schemas.openxmlformats.org/officeDocument/2006/relationships/hyperlink" Target="https://shop.avogel.ca/cdn/shop/products/herbamare-original-organic-herbed-sea-salt-615604_5000x.jpg?v=1658433320" TargetMode="External"/><Relationship Id="rId235" Type="http://schemas.openxmlformats.org/officeDocument/2006/relationships/hyperlink" Target="https://cloudinary.images-iherb.com/image/upload/f_auto,q_auto:eco/images/adn/adn00244/v/39.jpg" TargetMode="External"/><Relationship Id="rId277" Type="http://schemas.openxmlformats.org/officeDocument/2006/relationships/hyperlink" Target="https://cloudinary.images-iherb.com/image/upload/f_auto,q_auto:eco/images/adn/adn11915/l/27.jpg" TargetMode="External"/><Relationship Id="rId400" Type="http://schemas.openxmlformats.org/officeDocument/2006/relationships/hyperlink" Target="https://www.andeandream.com/assets/images/turmeric-1.png" TargetMode="External"/><Relationship Id="rId442" Type="http://schemas.openxmlformats.org/officeDocument/2006/relationships/hyperlink" Target="https://honeyshoppe.com/cdn/shop/files/PROPOLIS65_720x.png?v=1705894141" TargetMode="External"/><Relationship Id="rId484" Type="http://schemas.openxmlformats.org/officeDocument/2006/relationships/hyperlink" Target="https://cloudinary.images-iherb.com/image/upload/f_auto,q_auto:eco/images/ahr/ahr04100/v/8.jpg" TargetMode="External"/><Relationship Id="rId137" Type="http://schemas.openxmlformats.org/officeDocument/2006/relationships/hyperlink" Target="https://cloudinary.images-iherb.com/image/upload/f_auto,q_auto:eco/images/alt/alt01004/v/18.jpg" TargetMode="External"/><Relationship Id="rId302" Type="http://schemas.openxmlformats.org/officeDocument/2006/relationships/hyperlink" Target="https://cloudinary.images-iherb.com/image/upload/f_auto,q_auto:eco/images/adn/adn02019/l/50.jpg" TargetMode="External"/><Relationship Id="rId344" Type="http://schemas.openxmlformats.org/officeDocument/2006/relationships/hyperlink" Target="https://cloudinary.images-iherb.com/image/upload/f_auto,q_auto:eco/images/adn/adn11944/v/25.jpg" TargetMode="External"/><Relationship Id="rId41" Type="http://schemas.openxmlformats.org/officeDocument/2006/relationships/hyperlink" Target="https://s38167.pcdn.co/wp-content/uploads/2019/11/Exfoliating-Facial-Cleanser-front.png" TargetMode="External"/><Relationship Id="rId83" Type="http://schemas.openxmlformats.org/officeDocument/2006/relationships/hyperlink" Target="https://s38167.pcdn.co/wp-content/uploads/2023/02/SheerMineralFaceLotion_SPF50_2oz_New_Tube_Back_Render.png" TargetMode="External"/><Relationship Id="rId179" Type="http://schemas.openxmlformats.org/officeDocument/2006/relationships/hyperlink" Target="https://cloudinary.images-iherb.com/image/upload/f_auto,q_auto:eco/images/adn/adn00224/v/46.jpg" TargetMode="External"/><Relationship Id="rId386" Type="http://schemas.openxmlformats.org/officeDocument/2006/relationships/hyperlink" Target="https://m.media-amazon.com/images/I/91j00RusmkL._SY879_.jpg" TargetMode="External"/><Relationship Id="rId190" Type="http://schemas.openxmlformats.org/officeDocument/2006/relationships/hyperlink" Target="https://www.vitacost.com/Images/Products/500/Andalou-Naturals/Andalou-Naturals-Age-Defying-Rejuvenating-Plant-Based-Retinol-Alternative-Serum-850018119030.jpg" TargetMode="External"/><Relationship Id="rId204" Type="http://schemas.openxmlformats.org/officeDocument/2006/relationships/hyperlink" Target="https://cloudinary.images-iherb.com/image/upload/f_auto,q_auto:eco/images/adn/adn11960/l/53.jpg" TargetMode="External"/><Relationship Id="rId246" Type="http://schemas.openxmlformats.org/officeDocument/2006/relationships/hyperlink" Target="https://cloudinary.images-iherb.com/image/upload/f_auto,q_auto:eco/images/adn/adn02065/v/25.jpg" TargetMode="External"/><Relationship Id="rId288" Type="http://schemas.openxmlformats.org/officeDocument/2006/relationships/hyperlink" Target="https://m.media-amazon.com/images/I/6102kJKUbHL._SY879_.jpg" TargetMode="External"/><Relationship Id="rId411" Type="http://schemas.openxmlformats.org/officeDocument/2006/relationships/hyperlink" Target="https://alpinepeaksmt.com/cdn/shop/files/beepollen500mg90-1.webp?v=1739106589&amp;width=1646" TargetMode="External"/><Relationship Id="rId453" Type="http://schemas.openxmlformats.org/officeDocument/2006/relationships/hyperlink" Target="https://honeyshoppe.com/cdn/shop/files/PropolisThroatSpraywithHerbsSupplement_960x.png?v=1705893927" TargetMode="External"/><Relationship Id="rId106" Type="http://schemas.openxmlformats.org/officeDocument/2006/relationships/hyperlink" Target="https://cloudinary.images-iherb.com/image/upload/f_auto,q_auto:eco/images/alt/alt05005/v/11.jpg" TargetMode="External"/><Relationship Id="rId313" Type="http://schemas.openxmlformats.org/officeDocument/2006/relationships/hyperlink" Target="https://m.media-amazon.com/images/I/71+DVvQ0tFL._SX679_.jpg" TargetMode="External"/><Relationship Id="rId495" Type="http://schemas.openxmlformats.org/officeDocument/2006/relationships/hyperlink" Target="https://cloudinary.images-iherb.com/image/upload/f_auto,q_auto:eco/images/ahr/ahr61004/l/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46F5-B432-40D6-A1F8-C3ABFFB63D3D}">
  <dimension ref="A1:R230"/>
  <sheetViews>
    <sheetView tabSelected="1" zoomScale="200" zoomScaleNormal="200" workbookViewId="0">
      <selection activeCell="A19" sqref="A19"/>
    </sheetView>
  </sheetViews>
  <sheetFormatPr baseColWidth="10" defaultColWidth="8.83203125" defaultRowHeight="15" x14ac:dyDescent="0.2"/>
  <cols>
    <col min="1" max="1" width="15.6640625" customWidth="1"/>
    <col min="2" max="2" width="22.1640625" customWidth="1"/>
    <col min="3" max="3" width="24.83203125" customWidth="1"/>
    <col min="4" max="4" width="20" customWidth="1"/>
    <col min="5" max="5" width="15.1640625" customWidth="1"/>
    <col min="9" max="11" width="16.1640625" customWidth="1"/>
    <col min="13" max="13" width="24.33203125" customWidth="1"/>
    <col min="14" max="14" width="20.33203125" customWidth="1"/>
    <col min="15" max="15" width="32.5" customWidth="1"/>
    <col min="16" max="16" width="27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1025</v>
      </c>
      <c r="F1" s="2"/>
      <c r="G1" s="2"/>
      <c r="H1" s="2" t="s">
        <v>1023</v>
      </c>
      <c r="I1" s="2" t="s">
        <v>1024</v>
      </c>
      <c r="J1" s="2"/>
      <c r="K1" s="2" t="s">
        <v>1022</v>
      </c>
      <c r="L1" s="1" t="s">
        <v>4</v>
      </c>
      <c r="M1" s="3" t="s">
        <v>5</v>
      </c>
      <c r="N1" s="4" t="s">
        <v>6</v>
      </c>
      <c r="O1" s="4" t="s">
        <v>7</v>
      </c>
      <c r="P1" s="5" t="s">
        <v>8</v>
      </c>
      <c r="Q1" s="6"/>
      <c r="R1" s="6"/>
    </row>
    <row r="2" spans="1:18" x14ac:dyDescent="0.2">
      <c r="A2">
        <v>120101</v>
      </c>
      <c r="B2" s="7" t="s">
        <v>9</v>
      </c>
      <c r="C2" s="8" t="s">
        <v>10</v>
      </c>
      <c r="D2" s="8" t="s">
        <v>11</v>
      </c>
      <c r="E2" s="9">
        <v>4.99</v>
      </c>
      <c r="F2" s="9">
        <v>7.49</v>
      </c>
      <c r="G2" s="20">
        <f>+(F2/E2)/E2</f>
        <v>0.30080200481122565</v>
      </c>
      <c r="H2" s="21">
        <f>+F2-E2</f>
        <v>2.5</v>
      </c>
      <c r="I2" s="21">
        <f>+H2*0.2</f>
        <v>0.5</v>
      </c>
      <c r="J2" s="21">
        <f>+E2+H2+I2</f>
        <v>7.99</v>
      </c>
      <c r="K2" s="21">
        <f>+ROUNDUP(J2,0)</f>
        <v>8</v>
      </c>
      <c r="L2" s="8" t="s">
        <v>12</v>
      </c>
      <c r="M2" s="10" t="s">
        <v>13</v>
      </c>
      <c r="N2" s="11" t="s">
        <v>14</v>
      </c>
      <c r="O2" s="11" t="s">
        <v>15</v>
      </c>
      <c r="P2" s="12" t="s">
        <v>16</v>
      </c>
      <c r="Q2" s="13"/>
      <c r="R2" s="13"/>
    </row>
    <row r="3" spans="1:18" x14ac:dyDescent="0.2">
      <c r="A3">
        <v>120102</v>
      </c>
      <c r="B3" s="8" t="s">
        <v>9</v>
      </c>
      <c r="C3" s="8" t="s">
        <v>10</v>
      </c>
      <c r="D3" s="8" t="s">
        <v>17</v>
      </c>
      <c r="E3" s="9">
        <v>6.99</v>
      </c>
      <c r="F3" s="9">
        <v>10.49</v>
      </c>
      <c r="G3" s="20">
        <f t="shared" ref="G3:G66" si="0">+(F3/E3)/E3</f>
        <v>0.21469460766555942</v>
      </c>
      <c r="H3" s="21">
        <f t="shared" ref="H3:H66" si="1">+F3-E3</f>
        <v>3.5</v>
      </c>
      <c r="I3" s="21">
        <f t="shared" ref="I3:I66" si="2">+H3*0.2</f>
        <v>0.70000000000000007</v>
      </c>
      <c r="J3" s="21">
        <f t="shared" ref="J3:J66" si="3">+E3+H3+I3</f>
        <v>11.19</v>
      </c>
      <c r="K3" s="21">
        <f t="shared" ref="K3:K66" si="4">+ROUNDUP(J3,0)</f>
        <v>12</v>
      </c>
      <c r="L3" s="8" t="s">
        <v>18</v>
      </c>
      <c r="M3" s="10" t="s">
        <v>19</v>
      </c>
      <c r="N3" s="11" t="s">
        <v>20</v>
      </c>
      <c r="O3" s="11" t="s">
        <v>21</v>
      </c>
      <c r="P3" s="12" t="s">
        <v>22</v>
      </c>
      <c r="Q3" s="13"/>
      <c r="R3" s="13"/>
    </row>
    <row r="4" spans="1:18" x14ac:dyDescent="0.2">
      <c r="A4">
        <v>120103</v>
      </c>
      <c r="B4" s="8" t="s">
        <v>9</v>
      </c>
      <c r="C4" s="8" t="s">
        <v>23</v>
      </c>
      <c r="D4" s="8" t="s">
        <v>17</v>
      </c>
      <c r="E4" s="9">
        <v>7.66</v>
      </c>
      <c r="F4" s="9">
        <v>11.49</v>
      </c>
      <c r="G4" s="20">
        <f t="shared" si="0"/>
        <v>0.195822454308094</v>
      </c>
      <c r="H4" s="21">
        <f t="shared" si="1"/>
        <v>3.83</v>
      </c>
      <c r="I4" s="21">
        <f t="shared" si="2"/>
        <v>0.76600000000000001</v>
      </c>
      <c r="J4" s="21">
        <f t="shared" si="3"/>
        <v>12.256</v>
      </c>
      <c r="K4" s="21">
        <f t="shared" si="4"/>
        <v>13</v>
      </c>
      <c r="L4" s="8" t="s">
        <v>24</v>
      </c>
      <c r="M4" s="10" t="s">
        <v>25</v>
      </c>
      <c r="N4" s="11" t="s">
        <v>26</v>
      </c>
      <c r="O4" s="11" t="s">
        <v>27</v>
      </c>
      <c r="P4" s="14"/>
      <c r="Q4" s="13"/>
      <c r="R4" s="13"/>
    </row>
    <row r="5" spans="1:18" x14ac:dyDescent="0.2">
      <c r="A5">
        <v>101101</v>
      </c>
      <c r="B5" s="8" t="s">
        <v>28</v>
      </c>
      <c r="C5" s="8" t="s">
        <v>29</v>
      </c>
      <c r="D5" s="8" t="s">
        <v>30</v>
      </c>
      <c r="E5" s="9">
        <v>20.67</v>
      </c>
      <c r="F5" s="9">
        <v>34.450000000000003</v>
      </c>
      <c r="G5" s="20">
        <f t="shared" si="0"/>
        <v>8.0632156103854213E-2</v>
      </c>
      <c r="H5" s="21">
        <f t="shared" si="1"/>
        <v>13.780000000000001</v>
      </c>
      <c r="I5" s="21">
        <f t="shared" si="2"/>
        <v>2.7560000000000002</v>
      </c>
      <c r="J5" s="21">
        <f t="shared" si="3"/>
        <v>37.206000000000003</v>
      </c>
      <c r="K5" s="21">
        <f t="shared" si="4"/>
        <v>38</v>
      </c>
      <c r="L5" s="8" t="s">
        <v>31</v>
      </c>
      <c r="M5" s="10" t="s">
        <v>32</v>
      </c>
      <c r="N5" s="11" t="s">
        <v>33</v>
      </c>
      <c r="O5" s="15"/>
      <c r="P5" s="14"/>
      <c r="Q5" s="13"/>
      <c r="R5" s="13"/>
    </row>
    <row r="6" spans="1:18" x14ac:dyDescent="0.2">
      <c r="A6">
        <v>101102</v>
      </c>
      <c r="B6" s="8" t="s">
        <v>28</v>
      </c>
      <c r="C6" s="8" t="s">
        <v>34</v>
      </c>
      <c r="D6" s="8" t="s">
        <v>30</v>
      </c>
      <c r="E6" s="9">
        <v>15.6</v>
      </c>
      <c r="F6" s="9">
        <v>25.99</v>
      </c>
      <c r="G6" s="20">
        <f t="shared" si="0"/>
        <v>0.1067965154503616</v>
      </c>
      <c r="H6" s="21">
        <f t="shared" si="1"/>
        <v>10.389999999999999</v>
      </c>
      <c r="I6" s="21">
        <f t="shared" si="2"/>
        <v>2.0779999999999998</v>
      </c>
      <c r="J6" s="21">
        <f t="shared" si="3"/>
        <v>28.067999999999998</v>
      </c>
      <c r="K6" s="21">
        <f t="shared" si="4"/>
        <v>29</v>
      </c>
      <c r="L6" s="8" t="s">
        <v>35</v>
      </c>
      <c r="M6" s="16" t="s">
        <v>36</v>
      </c>
      <c r="N6" s="11" t="s">
        <v>37</v>
      </c>
      <c r="O6" s="15"/>
      <c r="P6" s="14"/>
      <c r="Q6" s="13"/>
      <c r="R6" s="13"/>
    </row>
    <row r="7" spans="1:18" x14ac:dyDescent="0.2">
      <c r="A7">
        <v>101103</v>
      </c>
      <c r="B7" s="8" t="s">
        <v>28</v>
      </c>
      <c r="C7" s="8" t="s">
        <v>38</v>
      </c>
      <c r="D7" s="8" t="s">
        <v>39</v>
      </c>
      <c r="E7" s="9">
        <v>14.99</v>
      </c>
      <c r="F7" s="9">
        <v>24.99</v>
      </c>
      <c r="G7" s="20">
        <f t="shared" si="0"/>
        <v>0.11121490377618878</v>
      </c>
      <c r="H7" s="21">
        <f t="shared" si="1"/>
        <v>9.9999999999999982</v>
      </c>
      <c r="I7" s="21">
        <f t="shared" si="2"/>
        <v>1.9999999999999998</v>
      </c>
      <c r="J7" s="21">
        <f t="shared" si="3"/>
        <v>26.99</v>
      </c>
      <c r="K7" s="21">
        <f t="shared" si="4"/>
        <v>27</v>
      </c>
      <c r="L7" s="8" t="s">
        <v>40</v>
      </c>
      <c r="M7" s="17"/>
      <c r="N7" s="15"/>
      <c r="O7" s="15"/>
      <c r="P7" s="14"/>
      <c r="Q7" s="13"/>
      <c r="R7" s="13"/>
    </row>
    <row r="8" spans="1:18" x14ac:dyDescent="0.2">
      <c r="A8">
        <v>101104</v>
      </c>
      <c r="B8" s="8" t="s">
        <v>28</v>
      </c>
      <c r="C8" s="8" t="s">
        <v>41</v>
      </c>
      <c r="D8" s="8" t="s">
        <v>42</v>
      </c>
      <c r="E8" s="9">
        <v>11.99</v>
      </c>
      <c r="F8" s="9">
        <v>19.989999999999998</v>
      </c>
      <c r="G8" s="20">
        <f t="shared" si="0"/>
        <v>0.13905109971403748</v>
      </c>
      <c r="H8" s="21">
        <f t="shared" si="1"/>
        <v>7.9999999999999982</v>
      </c>
      <c r="I8" s="21">
        <f t="shared" si="2"/>
        <v>1.5999999999999996</v>
      </c>
      <c r="J8" s="21">
        <f t="shared" si="3"/>
        <v>21.589999999999996</v>
      </c>
      <c r="K8" s="21">
        <f t="shared" si="4"/>
        <v>22</v>
      </c>
      <c r="L8" s="8" t="s">
        <v>43</v>
      </c>
      <c r="M8" s="10" t="s">
        <v>44</v>
      </c>
      <c r="N8" s="11" t="s">
        <v>45</v>
      </c>
      <c r="O8" s="11" t="s">
        <v>46</v>
      </c>
      <c r="P8" s="14"/>
      <c r="Q8" s="13"/>
      <c r="R8" s="13"/>
    </row>
    <row r="9" spans="1:18" x14ac:dyDescent="0.2">
      <c r="A9">
        <v>101105</v>
      </c>
      <c r="B9" s="8" t="s">
        <v>28</v>
      </c>
      <c r="C9" s="8" t="s">
        <v>47</v>
      </c>
      <c r="D9" s="8" t="s">
        <v>30</v>
      </c>
      <c r="E9" s="9">
        <v>18</v>
      </c>
      <c r="F9" s="9">
        <v>29.99</v>
      </c>
      <c r="G9" s="20">
        <f t="shared" si="0"/>
        <v>9.2561728395061729E-2</v>
      </c>
      <c r="H9" s="21">
        <f t="shared" si="1"/>
        <v>11.989999999999998</v>
      </c>
      <c r="I9" s="21">
        <f t="shared" si="2"/>
        <v>2.3979999999999997</v>
      </c>
      <c r="J9" s="21">
        <f t="shared" si="3"/>
        <v>32.387999999999998</v>
      </c>
      <c r="K9" s="21">
        <f t="shared" si="4"/>
        <v>33</v>
      </c>
      <c r="L9" s="8" t="s">
        <v>48</v>
      </c>
      <c r="M9" s="10" t="s">
        <v>49</v>
      </c>
      <c r="N9" s="11" t="s">
        <v>50</v>
      </c>
      <c r="O9" s="15"/>
      <c r="P9" s="14"/>
      <c r="Q9" s="13"/>
      <c r="R9" s="13"/>
    </row>
    <row r="10" spans="1:18" x14ac:dyDescent="0.2">
      <c r="A10">
        <v>101106</v>
      </c>
      <c r="B10" s="8" t="s">
        <v>28</v>
      </c>
      <c r="C10" s="8" t="s">
        <v>51</v>
      </c>
      <c r="D10" s="8" t="s">
        <v>52</v>
      </c>
      <c r="E10" s="9">
        <v>23.7</v>
      </c>
      <c r="F10" s="9">
        <v>39.5</v>
      </c>
      <c r="G10" s="20">
        <f t="shared" si="0"/>
        <v>7.0323488045007043E-2</v>
      </c>
      <c r="H10" s="21">
        <f t="shared" si="1"/>
        <v>15.8</v>
      </c>
      <c r="I10" s="21">
        <f t="shared" si="2"/>
        <v>3.16</v>
      </c>
      <c r="J10" s="21">
        <f t="shared" si="3"/>
        <v>42.66</v>
      </c>
      <c r="K10" s="21">
        <f t="shared" si="4"/>
        <v>43</v>
      </c>
      <c r="L10" s="8" t="s">
        <v>53</v>
      </c>
      <c r="M10" s="10" t="s">
        <v>54</v>
      </c>
      <c r="N10" s="11" t="s">
        <v>55</v>
      </c>
      <c r="O10" s="15"/>
      <c r="P10" s="14"/>
      <c r="Q10" s="13"/>
      <c r="R10" s="13"/>
    </row>
    <row r="11" spans="1:18" x14ac:dyDescent="0.2">
      <c r="A11">
        <v>101107</v>
      </c>
      <c r="B11" s="8" t="s">
        <v>28</v>
      </c>
      <c r="C11" s="8" t="s">
        <v>56</v>
      </c>
      <c r="D11" s="8" t="s">
        <v>57</v>
      </c>
      <c r="E11" s="9">
        <v>14.7</v>
      </c>
      <c r="F11" s="9">
        <v>24.5</v>
      </c>
      <c r="G11" s="20">
        <f t="shared" si="0"/>
        <v>0.11337868480725624</v>
      </c>
      <c r="H11" s="21">
        <f t="shared" si="1"/>
        <v>9.8000000000000007</v>
      </c>
      <c r="I11" s="21">
        <f t="shared" si="2"/>
        <v>1.9600000000000002</v>
      </c>
      <c r="J11" s="21">
        <f t="shared" si="3"/>
        <v>26.46</v>
      </c>
      <c r="K11" s="21">
        <f t="shared" si="4"/>
        <v>27</v>
      </c>
      <c r="L11" s="8" t="s">
        <v>58</v>
      </c>
      <c r="M11" s="10" t="s">
        <v>59</v>
      </c>
      <c r="N11" s="11" t="s">
        <v>60</v>
      </c>
      <c r="O11" s="11" t="s">
        <v>61</v>
      </c>
      <c r="P11" s="14"/>
      <c r="Q11" s="13"/>
      <c r="R11" s="13"/>
    </row>
    <row r="12" spans="1:18" x14ac:dyDescent="0.2">
      <c r="A12">
        <v>102101</v>
      </c>
      <c r="B12" s="18" t="s">
        <v>62</v>
      </c>
      <c r="C12" s="8" t="s">
        <v>63</v>
      </c>
      <c r="D12" s="8" t="s">
        <v>64</v>
      </c>
      <c r="E12" s="9">
        <v>7.84</v>
      </c>
      <c r="F12" s="9">
        <v>13.07</v>
      </c>
      <c r="G12" s="20">
        <f t="shared" si="0"/>
        <v>0.21263926488962931</v>
      </c>
      <c r="H12" s="21">
        <f t="shared" si="1"/>
        <v>5.23</v>
      </c>
      <c r="I12" s="21">
        <f t="shared" si="2"/>
        <v>1.046</v>
      </c>
      <c r="J12" s="21">
        <f t="shared" si="3"/>
        <v>14.116</v>
      </c>
      <c r="K12" s="21">
        <f t="shared" si="4"/>
        <v>15</v>
      </c>
      <c r="L12" s="8" t="s">
        <v>65</v>
      </c>
      <c r="M12" s="10" t="s">
        <v>66</v>
      </c>
      <c r="N12" s="11" t="s">
        <v>67</v>
      </c>
      <c r="O12" s="11" t="s">
        <v>68</v>
      </c>
      <c r="P12" s="14"/>
      <c r="Q12" s="13"/>
      <c r="R12" s="13"/>
    </row>
    <row r="13" spans="1:18" x14ac:dyDescent="0.2">
      <c r="A13">
        <v>102102</v>
      </c>
      <c r="B13" s="8" t="s">
        <v>62</v>
      </c>
      <c r="C13" s="8" t="s">
        <v>69</v>
      </c>
      <c r="D13" s="8" t="s">
        <v>70</v>
      </c>
      <c r="E13" s="9">
        <v>7.84</v>
      </c>
      <c r="F13" s="9">
        <v>13.07</v>
      </c>
      <c r="G13" s="20">
        <f t="shared" si="0"/>
        <v>0.21263926488962931</v>
      </c>
      <c r="H13" s="21">
        <f t="shared" si="1"/>
        <v>5.23</v>
      </c>
      <c r="I13" s="21">
        <f t="shared" si="2"/>
        <v>1.046</v>
      </c>
      <c r="J13" s="21">
        <f t="shared" si="3"/>
        <v>14.116</v>
      </c>
      <c r="K13" s="21">
        <f t="shared" si="4"/>
        <v>15</v>
      </c>
      <c r="L13" s="8" t="s">
        <v>71</v>
      </c>
      <c r="M13" s="10" t="s">
        <v>72</v>
      </c>
      <c r="N13" s="11" t="s">
        <v>73</v>
      </c>
      <c r="O13" s="11" t="s">
        <v>74</v>
      </c>
      <c r="P13" s="14"/>
      <c r="Q13" s="13"/>
      <c r="R13" s="13"/>
    </row>
    <row r="14" spans="1:18" x14ac:dyDescent="0.2">
      <c r="A14">
        <v>102103</v>
      </c>
      <c r="B14" s="8" t="s">
        <v>62</v>
      </c>
      <c r="C14" s="8" t="s">
        <v>75</v>
      </c>
      <c r="D14" s="8" t="s">
        <v>76</v>
      </c>
      <c r="E14" s="9">
        <v>7.64</v>
      </c>
      <c r="F14" s="9">
        <v>12.73</v>
      </c>
      <c r="G14" s="20">
        <f t="shared" si="0"/>
        <v>0.21809297990734905</v>
      </c>
      <c r="H14" s="21">
        <f t="shared" si="1"/>
        <v>5.0900000000000007</v>
      </c>
      <c r="I14" s="21">
        <f t="shared" si="2"/>
        <v>1.0180000000000002</v>
      </c>
      <c r="J14" s="21">
        <f t="shared" si="3"/>
        <v>13.748000000000001</v>
      </c>
      <c r="K14" s="21">
        <f t="shared" si="4"/>
        <v>14</v>
      </c>
      <c r="L14" s="8" t="s">
        <v>77</v>
      </c>
      <c r="M14" s="10" t="s">
        <v>78</v>
      </c>
      <c r="N14" s="11" t="s">
        <v>79</v>
      </c>
      <c r="O14" s="15"/>
      <c r="P14" s="14"/>
      <c r="Q14" s="13"/>
      <c r="R14" s="13"/>
    </row>
    <row r="15" spans="1:18" x14ac:dyDescent="0.2">
      <c r="A15">
        <v>102104</v>
      </c>
      <c r="B15" s="8" t="s">
        <v>62</v>
      </c>
      <c r="C15" s="8" t="s">
        <v>80</v>
      </c>
      <c r="D15" s="8" t="s">
        <v>81</v>
      </c>
      <c r="E15" s="9">
        <v>14.88</v>
      </c>
      <c r="F15" s="9">
        <v>24.8</v>
      </c>
      <c r="G15" s="20">
        <f t="shared" si="0"/>
        <v>0.11200716845878135</v>
      </c>
      <c r="H15" s="21">
        <f t="shared" si="1"/>
        <v>9.92</v>
      </c>
      <c r="I15" s="21">
        <f t="shared" si="2"/>
        <v>1.984</v>
      </c>
      <c r="J15" s="21">
        <f t="shared" si="3"/>
        <v>26.783999999999999</v>
      </c>
      <c r="K15" s="21">
        <f t="shared" si="4"/>
        <v>27</v>
      </c>
      <c r="L15" s="8" t="s">
        <v>82</v>
      </c>
      <c r="M15" s="10" t="s">
        <v>83</v>
      </c>
      <c r="N15" s="11" t="s">
        <v>84</v>
      </c>
      <c r="O15" s="11" t="s">
        <v>85</v>
      </c>
      <c r="P15" s="14"/>
      <c r="Q15" s="13"/>
      <c r="R15" s="13"/>
    </row>
    <row r="16" spans="1:18" x14ac:dyDescent="0.2">
      <c r="A16">
        <v>102105</v>
      </c>
      <c r="B16" s="8" t="s">
        <v>62</v>
      </c>
      <c r="C16" s="8" t="s">
        <v>86</v>
      </c>
      <c r="D16" s="8" t="s">
        <v>87</v>
      </c>
      <c r="E16" s="9">
        <v>10.81</v>
      </c>
      <c r="F16" s="9">
        <v>18.02</v>
      </c>
      <c r="G16" s="20">
        <f t="shared" si="0"/>
        <v>0.15420675514585885</v>
      </c>
      <c r="H16" s="21">
        <f t="shared" si="1"/>
        <v>7.2099999999999991</v>
      </c>
      <c r="I16" s="21">
        <f t="shared" si="2"/>
        <v>1.4419999999999999</v>
      </c>
      <c r="J16" s="21">
        <f t="shared" si="3"/>
        <v>19.462</v>
      </c>
      <c r="K16" s="21">
        <f t="shared" si="4"/>
        <v>20</v>
      </c>
      <c r="L16" s="8" t="s">
        <v>88</v>
      </c>
      <c r="M16" s="10" t="s">
        <v>89</v>
      </c>
      <c r="N16" s="11" t="s">
        <v>90</v>
      </c>
      <c r="O16" s="11" t="s">
        <v>91</v>
      </c>
      <c r="P16" s="14"/>
      <c r="Q16" s="13"/>
      <c r="R16" s="13"/>
    </row>
    <row r="17" spans="1:18" x14ac:dyDescent="0.2">
      <c r="A17">
        <v>102106</v>
      </c>
      <c r="B17" s="8" t="s">
        <v>62</v>
      </c>
      <c r="C17" s="8" t="s">
        <v>92</v>
      </c>
      <c r="D17" s="8" t="s">
        <v>81</v>
      </c>
      <c r="E17" s="9">
        <v>14.88</v>
      </c>
      <c r="F17" s="9">
        <v>24.8</v>
      </c>
      <c r="G17" s="20">
        <f t="shared" si="0"/>
        <v>0.11200716845878135</v>
      </c>
      <c r="H17" s="21">
        <f t="shared" si="1"/>
        <v>9.92</v>
      </c>
      <c r="I17" s="21">
        <f t="shared" si="2"/>
        <v>1.984</v>
      </c>
      <c r="J17" s="21">
        <f t="shared" si="3"/>
        <v>26.783999999999999</v>
      </c>
      <c r="K17" s="21">
        <f t="shared" si="4"/>
        <v>27</v>
      </c>
      <c r="L17" s="8" t="s">
        <v>93</v>
      </c>
      <c r="M17" s="10" t="s">
        <v>94</v>
      </c>
      <c r="N17" s="11" t="s">
        <v>95</v>
      </c>
      <c r="O17" s="11" t="s">
        <v>96</v>
      </c>
      <c r="P17" s="14"/>
      <c r="Q17" s="13"/>
      <c r="R17" s="13"/>
    </row>
    <row r="18" spans="1:18" x14ac:dyDescent="0.2">
      <c r="A18">
        <v>102107</v>
      </c>
      <c r="B18" s="8" t="s">
        <v>62</v>
      </c>
      <c r="C18" s="8" t="s">
        <v>97</v>
      </c>
      <c r="D18" s="8" t="s">
        <v>70</v>
      </c>
      <c r="E18" s="9">
        <v>10</v>
      </c>
      <c r="F18" s="9">
        <v>16.670000000000002</v>
      </c>
      <c r="G18" s="20">
        <f t="shared" si="0"/>
        <v>0.16670000000000001</v>
      </c>
      <c r="H18" s="21">
        <f t="shared" si="1"/>
        <v>6.6700000000000017</v>
      </c>
      <c r="I18" s="21">
        <f t="shared" si="2"/>
        <v>1.3340000000000005</v>
      </c>
      <c r="J18" s="21">
        <f t="shared" si="3"/>
        <v>18.004000000000001</v>
      </c>
      <c r="K18" s="21">
        <f t="shared" si="4"/>
        <v>19</v>
      </c>
      <c r="L18" s="8" t="s">
        <v>98</v>
      </c>
      <c r="M18" s="10" t="s">
        <v>99</v>
      </c>
      <c r="N18" s="11" t="s">
        <v>100</v>
      </c>
      <c r="O18" s="11" t="s">
        <v>101</v>
      </c>
      <c r="P18" s="14"/>
      <c r="Q18" s="13"/>
      <c r="R18" s="13"/>
    </row>
    <row r="19" spans="1:18" x14ac:dyDescent="0.2">
      <c r="A19">
        <v>102108</v>
      </c>
      <c r="B19" s="8" t="s">
        <v>62</v>
      </c>
      <c r="C19" s="8" t="s">
        <v>102</v>
      </c>
      <c r="D19" s="8" t="s">
        <v>70</v>
      </c>
      <c r="E19" s="9">
        <v>6.79</v>
      </c>
      <c r="F19" s="9">
        <v>11.31</v>
      </c>
      <c r="G19" s="20">
        <f t="shared" si="0"/>
        <v>0.24531440804613908</v>
      </c>
      <c r="H19" s="21">
        <f t="shared" si="1"/>
        <v>4.5200000000000005</v>
      </c>
      <c r="I19" s="21">
        <f t="shared" si="2"/>
        <v>0.90400000000000014</v>
      </c>
      <c r="J19" s="21">
        <f t="shared" si="3"/>
        <v>12.214</v>
      </c>
      <c r="K19" s="21">
        <f t="shared" si="4"/>
        <v>13</v>
      </c>
      <c r="L19" s="8" t="s">
        <v>103</v>
      </c>
      <c r="M19" s="10" t="s">
        <v>104</v>
      </c>
      <c r="N19" s="15"/>
      <c r="O19" s="15"/>
      <c r="P19" s="14"/>
      <c r="Q19" s="13"/>
      <c r="R19" s="13"/>
    </row>
    <row r="20" spans="1:18" x14ac:dyDescent="0.2">
      <c r="A20">
        <v>102109</v>
      </c>
      <c r="B20" s="8" t="s">
        <v>62</v>
      </c>
      <c r="C20" s="8" t="s">
        <v>105</v>
      </c>
      <c r="D20" s="8" t="s">
        <v>106</v>
      </c>
      <c r="E20" s="9">
        <v>8.1199999999999992</v>
      </c>
      <c r="F20" s="9">
        <v>13.53</v>
      </c>
      <c r="G20" s="20">
        <f t="shared" si="0"/>
        <v>0.20520396029993451</v>
      </c>
      <c r="H20" s="21">
        <f t="shared" si="1"/>
        <v>5.41</v>
      </c>
      <c r="I20" s="21">
        <f t="shared" si="2"/>
        <v>1.0820000000000001</v>
      </c>
      <c r="J20" s="21">
        <f t="shared" si="3"/>
        <v>14.612</v>
      </c>
      <c r="K20" s="21">
        <f t="shared" si="4"/>
        <v>15</v>
      </c>
      <c r="L20" s="8" t="s">
        <v>107</v>
      </c>
      <c r="M20" s="10" t="s">
        <v>108</v>
      </c>
      <c r="N20" s="11" t="s">
        <v>109</v>
      </c>
      <c r="O20" s="11" t="s">
        <v>110</v>
      </c>
      <c r="P20" s="14"/>
      <c r="Q20" s="13"/>
      <c r="R20" s="13"/>
    </row>
    <row r="21" spans="1:18" x14ac:dyDescent="0.2">
      <c r="A21">
        <v>102110</v>
      </c>
      <c r="B21" s="8" t="s">
        <v>62</v>
      </c>
      <c r="C21" s="8" t="s">
        <v>111</v>
      </c>
      <c r="D21" s="8" t="s">
        <v>112</v>
      </c>
      <c r="E21" s="9">
        <v>13.03</v>
      </c>
      <c r="F21" s="9">
        <v>21.71</v>
      </c>
      <c r="G21" s="20">
        <f t="shared" si="0"/>
        <v>0.12787068510062086</v>
      </c>
      <c r="H21" s="21">
        <f t="shared" si="1"/>
        <v>8.6800000000000015</v>
      </c>
      <c r="I21" s="21">
        <f t="shared" si="2"/>
        <v>1.7360000000000004</v>
      </c>
      <c r="J21" s="21">
        <f t="shared" si="3"/>
        <v>23.446000000000002</v>
      </c>
      <c r="K21" s="21">
        <f t="shared" si="4"/>
        <v>24</v>
      </c>
      <c r="L21" s="8" t="s">
        <v>113</v>
      </c>
      <c r="M21" s="10" t="s">
        <v>114</v>
      </c>
      <c r="N21" s="15"/>
      <c r="O21" s="15"/>
      <c r="P21" s="14"/>
      <c r="Q21" s="13"/>
      <c r="R21" s="13"/>
    </row>
    <row r="22" spans="1:18" x14ac:dyDescent="0.2">
      <c r="A22">
        <v>102111</v>
      </c>
      <c r="B22" s="8" t="s">
        <v>62</v>
      </c>
      <c r="C22" s="8" t="s">
        <v>115</v>
      </c>
      <c r="D22" s="8" t="s">
        <v>116</v>
      </c>
      <c r="E22" s="9">
        <v>8.24</v>
      </c>
      <c r="F22" s="9">
        <v>13.73</v>
      </c>
      <c r="G22" s="20">
        <f t="shared" si="0"/>
        <v>0.20221627863135075</v>
      </c>
      <c r="H22" s="21">
        <f t="shared" si="1"/>
        <v>5.49</v>
      </c>
      <c r="I22" s="21">
        <f t="shared" si="2"/>
        <v>1.0980000000000001</v>
      </c>
      <c r="J22" s="21">
        <f t="shared" si="3"/>
        <v>14.828000000000001</v>
      </c>
      <c r="K22" s="21">
        <f t="shared" si="4"/>
        <v>15</v>
      </c>
      <c r="L22" s="8" t="s">
        <v>117</v>
      </c>
      <c r="M22" s="10" t="s">
        <v>118</v>
      </c>
      <c r="N22" s="11" t="s">
        <v>119</v>
      </c>
      <c r="O22" s="15"/>
      <c r="P22" s="14"/>
      <c r="Q22" s="13"/>
      <c r="R22" s="13"/>
    </row>
    <row r="23" spans="1:18" x14ac:dyDescent="0.2">
      <c r="A23">
        <v>102112</v>
      </c>
      <c r="B23" s="8" t="s">
        <v>62</v>
      </c>
      <c r="C23" s="8" t="s">
        <v>120</v>
      </c>
      <c r="D23" s="8" t="s">
        <v>81</v>
      </c>
      <c r="E23" s="9">
        <v>9.73</v>
      </c>
      <c r="F23" s="9">
        <v>16.22</v>
      </c>
      <c r="G23" s="20">
        <f t="shared" si="0"/>
        <v>0.17132674714728288</v>
      </c>
      <c r="H23" s="21">
        <f t="shared" si="1"/>
        <v>6.4899999999999984</v>
      </c>
      <c r="I23" s="21">
        <f t="shared" si="2"/>
        <v>1.2979999999999998</v>
      </c>
      <c r="J23" s="21">
        <f t="shared" si="3"/>
        <v>17.517999999999997</v>
      </c>
      <c r="K23" s="21">
        <f t="shared" si="4"/>
        <v>18</v>
      </c>
      <c r="L23" s="8" t="s">
        <v>121</v>
      </c>
      <c r="M23" s="10" t="s">
        <v>122</v>
      </c>
      <c r="N23" s="11" t="s">
        <v>123</v>
      </c>
      <c r="O23" s="15"/>
      <c r="P23" s="14"/>
      <c r="Q23" s="13"/>
      <c r="R23" s="13"/>
    </row>
    <row r="24" spans="1:18" x14ac:dyDescent="0.2">
      <c r="A24">
        <v>102113</v>
      </c>
      <c r="B24" s="8" t="s">
        <v>62</v>
      </c>
      <c r="C24" s="8" t="s">
        <v>124</v>
      </c>
      <c r="D24" s="8" t="s">
        <v>125</v>
      </c>
      <c r="E24" s="9">
        <v>12.97</v>
      </c>
      <c r="F24" s="9">
        <v>21.62</v>
      </c>
      <c r="G24" s="20">
        <f t="shared" si="0"/>
        <v>0.12852148573690902</v>
      </c>
      <c r="H24" s="21">
        <f t="shared" si="1"/>
        <v>8.65</v>
      </c>
      <c r="I24" s="21">
        <f t="shared" si="2"/>
        <v>1.7300000000000002</v>
      </c>
      <c r="J24" s="21">
        <f t="shared" si="3"/>
        <v>23.35</v>
      </c>
      <c r="K24" s="21">
        <f t="shared" si="4"/>
        <v>24</v>
      </c>
      <c r="L24" s="8" t="s">
        <v>126</v>
      </c>
      <c r="M24" s="10" t="s">
        <v>127</v>
      </c>
      <c r="N24" s="11" t="s">
        <v>128</v>
      </c>
      <c r="O24" s="15"/>
      <c r="P24" s="14"/>
      <c r="Q24" s="13"/>
      <c r="R24" s="13"/>
    </row>
    <row r="25" spans="1:18" x14ac:dyDescent="0.2">
      <c r="A25">
        <v>102114</v>
      </c>
      <c r="B25" s="8" t="s">
        <v>62</v>
      </c>
      <c r="C25" s="8" t="s">
        <v>129</v>
      </c>
      <c r="D25" s="8" t="s">
        <v>125</v>
      </c>
      <c r="E25" s="9">
        <v>12.97</v>
      </c>
      <c r="F25" s="9">
        <v>21.62</v>
      </c>
      <c r="G25" s="20">
        <f t="shared" si="0"/>
        <v>0.12852148573690902</v>
      </c>
      <c r="H25" s="21">
        <f t="shared" si="1"/>
        <v>8.65</v>
      </c>
      <c r="I25" s="21">
        <f t="shared" si="2"/>
        <v>1.7300000000000002</v>
      </c>
      <c r="J25" s="21">
        <f t="shared" si="3"/>
        <v>23.35</v>
      </c>
      <c r="K25" s="21">
        <f t="shared" si="4"/>
        <v>24</v>
      </c>
      <c r="L25" s="8" t="s">
        <v>130</v>
      </c>
      <c r="M25" s="10" t="s">
        <v>131</v>
      </c>
      <c r="N25" s="11" t="s">
        <v>132</v>
      </c>
      <c r="O25" s="15"/>
      <c r="P25" s="14"/>
      <c r="Q25" s="13"/>
      <c r="R25" s="13"/>
    </row>
    <row r="26" spans="1:18" x14ac:dyDescent="0.2">
      <c r="A26">
        <v>102115</v>
      </c>
      <c r="B26" s="8" t="s">
        <v>62</v>
      </c>
      <c r="C26" s="8" t="s">
        <v>133</v>
      </c>
      <c r="D26" s="8" t="s">
        <v>125</v>
      </c>
      <c r="E26" s="9">
        <v>12.37</v>
      </c>
      <c r="F26" s="9">
        <v>21.62</v>
      </c>
      <c r="G26" s="20">
        <f t="shared" si="0"/>
        <v>0.1412915828251651</v>
      </c>
      <c r="H26" s="21">
        <f t="shared" si="1"/>
        <v>9.2500000000000018</v>
      </c>
      <c r="I26" s="21">
        <f t="shared" si="2"/>
        <v>1.8500000000000005</v>
      </c>
      <c r="J26" s="21">
        <f t="shared" si="3"/>
        <v>23.470000000000002</v>
      </c>
      <c r="K26" s="21">
        <f t="shared" si="4"/>
        <v>24</v>
      </c>
      <c r="L26" s="8" t="s">
        <v>134</v>
      </c>
      <c r="M26" s="10" t="s">
        <v>135</v>
      </c>
      <c r="N26" s="11" t="s">
        <v>136</v>
      </c>
      <c r="O26" s="15"/>
      <c r="P26" s="14"/>
      <c r="Q26" s="13"/>
      <c r="R26" s="13"/>
    </row>
    <row r="27" spans="1:18" x14ac:dyDescent="0.2">
      <c r="A27">
        <v>102116</v>
      </c>
      <c r="B27" s="8" t="s">
        <v>62</v>
      </c>
      <c r="C27" s="8" t="s">
        <v>137</v>
      </c>
      <c r="D27" s="8" t="s">
        <v>81</v>
      </c>
      <c r="E27" s="9">
        <v>10.6</v>
      </c>
      <c r="F27" s="9">
        <v>17.989999999999998</v>
      </c>
      <c r="G27" s="20">
        <f t="shared" si="0"/>
        <v>0.16011035955856176</v>
      </c>
      <c r="H27" s="21">
        <f t="shared" si="1"/>
        <v>7.3899999999999988</v>
      </c>
      <c r="I27" s="21">
        <f t="shared" si="2"/>
        <v>1.4779999999999998</v>
      </c>
      <c r="J27" s="21">
        <f t="shared" si="3"/>
        <v>19.467999999999996</v>
      </c>
      <c r="K27" s="21">
        <f t="shared" si="4"/>
        <v>20</v>
      </c>
      <c r="L27" s="8" t="s">
        <v>138</v>
      </c>
      <c r="M27" s="10" t="s">
        <v>139</v>
      </c>
      <c r="N27" s="11" t="s">
        <v>140</v>
      </c>
      <c r="O27" s="15"/>
      <c r="P27" s="14"/>
      <c r="Q27" s="13"/>
      <c r="R27" s="13"/>
    </row>
    <row r="28" spans="1:18" x14ac:dyDescent="0.2">
      <c r="A28">
        <v>102117</v>
      </c>
      <c r="B28" s="8" t="s">
        <v>62</v>
      </c>
      <c r="C28" s="8" t="s">
        <v>141</v>
      </c>
      <c r="D28" s="8" t="s">
        <v>81</v>
      </c>
      <c r="E28" s="9">
        <v>10.6</v>
      </c>
      <c r="F28" s="9">
        <v>17.670000000000002</v>
      </c>
      <c r="G28" s="20">
        <f t="shared" si="0"/>
        <v>0.15726237095051623</v>
      </c>
      <c r="H28" s="21">
        <f t="shared" si="1"/>
        <v>7.0700000000000021</v>
      </c>
      <c r="I28" s="21">
        <f t="shared" si="2"/>
        <v>1.4140000000000006</v>
      </c>
      <c r="J28" s="21">
        <f t="shared" si="3"/>
        <v>19.084000000000003</v>
      </c>
      <c r="K28" s="21">
        <f t="shared" si="4"/>
        <v>20</v>
      </c>
      <c r="L28" s="8" t="s">
        <v>142</v>
      </c>
      <c r="M28" s="10" t="s">
        <v>143</v>
      </c>
      <c r="N28" s="11" t="s">
        <v>144</v>
      </c>
      <c r="O28" s="15"/>
      <c r="P28" s="14"/>
      <c r="Q28" s="13"/>
      <c r="R28" s="13"/>
    </row>
    <row r="29" spans="1:18" x14ac:dyDescent="0.2">
      <c r="A29">
        <v>102118</v>
      </c>
      <c r="B29" s="8" t="s">
        <v>62</v>
      </c>
      <c r="C29" s="8" t="s">
        <v>145</v>
      </c>
      <c r="D29" s="8" t="s">
        <v>81</v>
      </c>
      <c r="E29" s="9">
        <v>9.73</v>
      </c>
      <c r="F29" s="9">
        <v>16.22</v>
      </c>
      <c r="G29" s="20">
        <f t="shared" si="0"/>
        <v>0.17132674714728288</v>
      </c>
      <c r="H29" s="21">
        <f t="shared" si="1"/>
        <v>6.4899999999999984</v>
      </c>
      <c r="I29" s="21">
        <f t="shared" si="2"/>
        <v>1.2979999999999998</v>
      </c>
      <c r="J29" s="21">
        <f t="shared" si="3"/>
        <v>17.517999999999997</v>
      </c>
      <c r="K29" s="21">
        <f t="shared" si="4"/>
        <v>18</v>
      </c>
      <c r="L29" s="8" t="s">
        <v>146</v>
      </c>
      <c r="M29" s="10" t="s">
        <v>147</v>
      </c>
      <c r="N29" s="11" t="s">
        <v>148</v>
      </c>
      <c r="O29" s="15"/>
      <c r="P29" s="14"/>
      <c r="Q29" s="13"/>
      <c r="R29" s="13"/>
    </row>
    <row r="30" spans="1:18" x14ac:dyDescent="0.2">
      <c r="A30">
        <v>102119</v>
      </c>
      <c r="B30" s="8" t="s">
        <v>62</v>
      </c>
      <c r="C30" s="8" t="s">
        <v>149</v>
      </c>
      <c r="D30" s="8" t="s">
        <v>81</v>
      </c>
      <c r="E30" s="9">
        <v>9.73</v>
      </c>
      <c r="F30" s="9">
        <v>16.22</v>
      </c>
      <c r="G30" s="20">
        <f t="shared" si="0"/>
        <v>0.17132674714728288</v>
      </c>
      <c r="H30" s="21">
        <f t="shared" si="1"/>
        <v>6.4899999999999984</v>
      </c>
      <c r="I30" s="21">
        <f t="shared" si="2"/>
        <v>1.2979999999999998</v>
      </c>
      <c r="J30" s="21">
        <f t="shared" si="3"/>
        <v>17.517999999999997</v>
      </c>
      <c r="K30" s="21">
        <f t="shared" si="4"/>
        <v>18</v>
      </c>
      <c r="L30" s="8" t="s">
        <v>150</v>
      </c>
      <c r="M30" s="10" t="s">
        <v>139</v>
      </c>
      <c r="N30" s="11" t="s">
        <v>140</v>
      </c>
      <c r="O30" s="15"/>
      <c r="P30" s="14"/>
      <c r="Q30" s="13"/>
      <c r="R30" s="13"/>
    </row>
    <row r="31" spans="1:18" x14ac:dyDescent="0.2">
      <c r="A31">
        <v>102120</v>
      </c>
      <c r="B31" s="8" t="s">
        <v>62</v>
      </c>
      <c r="C31" s="8" t="s">
        <v>151</v>
      </c>
      <c r="D31" s="8" t="s">
        <v>125</v>
      </c>
      <c r="E31" s="9">
        <v>12.97</v>
      </c>
      <c r="F31" s="9">
        <v>21.62</v>
      </c>
      <c r="G31" s="20">
        <f t="shared" si="0"/>
        <v>0.12852148573690902</v>
      </c>
      <c r="H31" s="21">
        <f t="shared" si="1"/>
        <v>8.65</v>
      </c>
      <c r="I31" s="21">
        <f t="shared" si="2"/>
        <v>1.7300000000000002</v>
      </c>
      <c r="J31" s="21">
        <f t="shared" si="3"/>
        <v>23.35</v>
      </c>
      <c r="K31" s="21">
        <f t="shared" si="4"/>
        <v>24</v>
      </c>
      <c r="L31" s="8" t="s">
        <v>152</v>
      </c>
      <c r="M31" s="10" t="s">
        <v>153</v>
      </c>
      <c r="N31" s="11" t="s">
        <v>154</v>
      </c>
      <c r="O31" s="15"/>
      <c r="P31" s="14"/>
      <c r="Q31" s="13"/>
      <c r="R31" s="13"/>
    </row>
    <row r="32" spans="1:18" x14ac:dyDescent="0.2">
      <c r="A32">
        <v>102121</v>
      </c>
      <c r="B32" s="8" t="s">
        <v>62</v>
      </c>
      <c r="C32" s="8" t="s">
        <v>155</v>
      </c>
      <c r="D32" s="8" t="s">
        <v>156</v>
      </c>
      <c r="E32" s="9">
        <v>13.76</v>
      </c>
      <c r="F32" s="9">
        <v>22.93</v>
      </c>
      <c r="G32" s="20">
        <f t="shared" si="0"/>
        <v>0.12110642577068685</v>
      </c>
      <c r="H32" s="21">
        <f t="shared" si="1"/>
        <v>9.17</v>
      </c>
      <c r="I32" s="21">
        <f t="shared" si="2"/>
        <v>1.8340000000000001</v>
      </c>
      <c r="J32" s="21">
        <f t="shared" si="3"/>
        <v>24.763999999999999</v>
      </c>
      <c r="K32" s="21">
        <f t="shared" si="4"/>
        <v>25</v>
      </c>
      <c r="L32" s="8" t="s">
        <v>157</v>
      </c>
      <c r="M32" s="10" t="s">
        <v>158</v>
      </c>
      <c r="N32" s="11" t="s">
        <v>159</v>
      </c>
      <c r="O32" s="11" t="s">
        <v>160</v>
      </c>
      <c r="P32" s="14"/>
      <c r="Q32" s="13"/>
      <c r="R32" s="13"/>
    </row>
    <row r="33" spans="1:18" x14ac:dyDescent="0.2">
      <c r="A33">
        <v>102122</v>
      </c>
      <c r="B33" s="8" t="s">
        <v>62</v>
      </c>
      <c r="C33" s="8" t="s">
        <v>161</v>
      </c>
      <c r="D33" s="8" t="s">
        <v>162</v>
      </c>
      <c r="E33" s="9">
        <v>13.76</v>
      </c>
      <c r="F33" s="9">
        <v>22.93</v>
      </c>
      <c r="G33" s="20">
        <f t="shared" si="0"/>
        <v>0.12110642577068685</v>
      </c>
      <c r="H33" s="21">
        <f t="shared" si="1"/>
        <v>9.17</v>
      </c>
      <c r="I33" s="21">
        <f t="shared" si="2"/>
        <v>1.8340000000000001</v>
      </c>
      <c r="J33" s="21">
        <f t="shared" si="3"/>
        <v>24.763999999999999</v>
      </c>
      <c r="K33" s="21">
        <f t="shared" si="4"/>
        <v>25</v>
      </c>
      <c r="L33" s="8" t="s">
        <v>163</v>
      </c>
      <c r="M33" s="10" t="s">
        <v>164</v>
      </c>
      <c r="N33" s="11" t="s">
        <v>165</v>
      </c>
      <c r="O33" s="11" t="s">
        <v>166</v>
      </c>
      <c r="P33" s="14"/>
      <c r="Q33" s="13"/>
      <c r="R33" s="13"/>
    </row>
    <row r="34" spans="1:18" x14ac:dyDescent="0.2">
      <c r="A34">
        <v>102123</v>
      </c>
      <c r="B34" s="8" t="s">
        <v>62</v>
      </c>
      <c r="C34" s="8" t="s">
        <v>167</v>
      </c>
      <c r="D34" s="8" t="s">
        <v>162</v>
      </c>
      <c r="E34" s="9">
        <v>13.76</v>
      </c>
      <c r="F34" s="9">
        <v>22.93</v>
      </c>
      <c r="G34" s="20">
        <f t="shared" si="0"/>
        <v>0.12110642577068685</v>
      </c>
      <c r="H34" s="21">
        <f t="shared" si="1"/>
        <v>9.17</v>
      </c>
      <c r="I34" s="21">
        <f t="shared" si="2"/>
        <v>1.8340000000000001</v>
      </c>
      <c r="J34" s="21">
        <f t="shared" si="3"/>
        <v>24.763999999999999</v>
      </c>
      <c r="K34" s="21">
        <f t="shared" si="4"/>
        <v>25</v>
      </c>
      <c r="L34" s="8" t="s">
        <v>168</v>
      </c>
      <c r="M34" s="17"/>
      <c r="N34" s="15"/>
      <c r="O34" s="15"/>
      <c r="P34" s="14"/>
      <c r="Q34" s="13"/>
      <c r="R34" s="13"/>
    </row>
    <row r="35" spans="1:18" x14ac:dyDescent="0.2">
      <c r="A35">
        <v>102124</v>
      </c>
      <c r="B35" s="8" t="s">
        <v>62</v>
      </c>
      <c r="C35" s="8" t="s">
        <v>169</v>
      </c>
      <c r="D35" s="8" t="s">
        <v>70</v>
      </c>
      <c r="E35" s="9">
        <v>6.21</v>
      </c>
      <c r="F35" s="9">
        <v>10.29</v>
      </c>
      <c r="G35" s="20">
        <f t="shared" si="0"/>
        <v>0.26682847518806346</v>
      </c>
      <c r="H35" s="21">
        <f t="shared" si="1"/>
        <v>4.0799999999999992</v>
      </c>
      <c r="I35" s="21">
        <f t="shared" si="2"/>
        <v>0.81599999999999984</v>
      </c>
      <c r="J35" s="21">
        <f t="shared" si="3"/>
        <v>11.105999999999998</v>
      </c>
      <c r="K35" s="21">
        <f t="shared" si="4"/>
        <v>12</v>
      </c>
      <c r="L35" s="8" t="s">
        <v>170</v>
      </c>
      <c r="M35" s="10" t="s">
        <v>171</v>
      </c>
      <c r="N35" s="11" t="s">
        <v>172</v>
      </c>
      <c r="O35" s="15"/>
      <c r="P35" s="14"/>
      <c r="Q35" s="13"/>
      <c r="R35" s="13"/>
    </row>
    <row r="36" spans="1:18" x14ac:dyDescent="0.2">
      <c r="A36">
        <v>102125</v>
      </c>
      <c r="B36" s="8" t="s">
        <v>62</v>
      </c>
      <c r="C36" s="8" t="s">
        <v>173</v>
      </c>
      <c r="D36" s="8" t="s">
        <v>81</v>
      </c>
      <c r="E36" s="9">
        <v>9.73</v>
      </c>
      <c r="F36" s="9">
        <v>16.22</v>
      </c>
      <c r="G36" s="20">
        <f t="shared" si="0"/>
        <v>0.17132674714728288</v>
      </c>
      <c r="H36" s="21">
        <f t="shared" si="1"/>
        <v>6.4899999999999984</v>
      </c>
      <c r="I36" s="21">
        <f t="shared" si="2"/>
        <v>1.2979999999999998</v>
      </c>
      <c r="J36" s="21">
        <f t="shared" si="3"/>
        <v>17.517999999999997</v>
      </c>
      <c r="K36" s="21">
        <f t="shared" si="4"/>
        <v>18</v>
      </c>
      <c r="L36" s="8" t="s">
        <v>174</v>
      </c>
      <c r="M36" s="10" t="s">
        <v>175</v>
      </c>
      <c r="N36" s="11" t="s">
        <v>176</v>
      </c>
      <c r="O36" s="15"/>
      <c r="P36" s="14"/>
      <c r="Q36" s="13"/>
      <c r="R36" s="13"/>
    </row>
    <row r="37" spans="1:18" x14ac:dyDescent="0.2">
      <c r="A37">
        <v>102126</v>
      </c>
      <c r="B37" s="8" t="s">
        <v>62</v>
      </c>
      <c r="C37" s="8" t="s">
        <v>177</v>
      </c>
      <c r="D37" s="8" t="s">
        <v>125</v>
      </c>
      <c r="E37" s="9">
        <v>12.97</v>
      </c>
      <c r="F37" s="9">
        <v>21.62</v>
      </c>
      <c r="G37" s="20">
        <f t="shared" si="0"/>
        <v>0.12852148573690902</v>
      </c>
      <c r="H37" s="21">
        <f t="shared" si="1"/>
        <v>8.65</v>
      </c>
      <c r="I37" s="21">
        <f t="shared" si="2"/>
        <v>1.7300000000000002</v>
      </c>
      <c r="J37" s="21">
        <f t="shared" si="3"/>
        <v>23.35</v>
      </c>
      <c r="K37" s="21">
        <f t="shared" si="4"/>
        <v>24</v>
      </c>
      <c r="L37" s="8" t="s">
        <v>178</v>
      </c>
      <c r="M37" s="10" t="s">
        <v>179</v>
      </c>
      <c r="N37" s="11" t="s">
        <v>180</v>
      </c>
      <c r="O37" s="15"/>
      <c r="P37" s="14"/>
      <c r="Q37" s="13"/>
      <c r="R37" s="13"/>
    </row>
    <row r="38" spans="1:18" x14ac:dyDescent="0.2">
      <c r="A38">
        <v>102127</v>
      </c>
      <c r="B38" s="8" t="s">
        <v>62</v>
      </c>
      <c r="C38" s="8" t="s">
        <v>181</v>
      </c>
      <c r="D38" s="8" t="s">
        <v>81</v>
      </c>
      <c r="E38" s="9">
        <v>10.46</v>
      </c>
      <c r="F38" s="9">
        <v>16.989999999999998</v>
      </c>
      <c r="G38" s="20">
        <f t="shared" si="0"/>
        <v>0.15528517999919567</v>
      </c>
      <c r="H38" s="21">
        <f t="shared" si="1"/>
        <v>6.5299999999999976</v>
      </c>
      <c r="I38" s="21">
        <f t="shared" si="2"/>
        <v>1.3059999999999996</v>
      </c>
      <c r="J38" s="21">
        <f t="shared" si="3"/>
        <v>18.295999999999999</v>
      </c>
      <c r="K38" s="21">
        <f t="shared" si="4"/>
        <v>19</v>
      </c>
      <c r="L38" s="8" t="s">
        <v>182</v>
      </c>
      <c r="M38" s="10" t="s">
        <v>183</v>
      </c>
      <c r="N38" s="11" t="s">
        <v>184</v>
      </c>
      <c r="O38" s="15"/>
      <c r="P38" s="14"/>
      <c r="Q38" s="13"/>
      <c r="R38" s="13"/>
    </row>
    <row r="39" spans="1:18" x14ac:dyDescent="0.2">
      <c r="A39">
        <v>102128</v>
      </c>
      <c r="B39" s="8" t="s">
        <v>62</v>
      </c>
      <c r="C39" s="8" t="s">
        <v>185</v>
      </c>
      <c r="D39" s="8" t="s">
        <v>39</v>
      </c>
      <c r="E39" s="9">
        <v>9.69</v>
      </c>
      <c r="F39" s="9">
        <v>16.16</v>
      </c>
      <c r="G39" s="20">
        <f t="shared" si="0"/>
        <v>0.17210512470698996</v>
      </c>
      <c r="H39" s="21">
        <f t="shared" si="1"/>
        <v>6.4700000000000006</v>
      </c>
      <c r="I39" s="21">
        <f t="shared" si="2"/>
        <v>1.2940000000000003</v>
      </c>
      <c r="J39" s="21">
        <f t="shared" si="3"/>
        <v>17.454000000000001</v>
      </c>
      <c r="K39" s="21">
        <f t="shared" si="4"/>
        <v>18</v>
      </c>
      <c r="L39" s="8" t="s">
        <v>186</v>
      </c>
      <c r="M39" s="10" t="s">
        <v>187</v>
      </c>
      <c r="N39" s="11" t="s">
        <v>188</v>
      </c>
      <c r="O39" s="15"/>
      <c r="P39" s="14"/>
      <c r="Q39" s="13"/>
      <c r="R39" s="13"/>
    </row>
    <row r="40" spans="1:18" x14ac:dyDescent="0.2">
      <c r="A40">
        <v>102129</v>
      </c>
      <c r="B40" s="8" t="s">
        <v>62</v>
      </c>
      <c r="C40" s="8" t="s">
        <v>189</v>
      </c>
      <c r="D40" s="8" t="s">
        <v>39</v>
      </c>
      <c r="E40" s="9">
        <v>9.69</v>
      </c>
      <c r="F40" s="9">
        <v>16.16</v>
      </c>
      <c r="G40" s="20">
        <f t="shared" si="0"/>
        <v>0.17210512470698996</v>
      </c>
      <c r="H40" s="21">
        <f t="shared" si="1"/>
        <v>6.4700000000000006</v>
      </c>
      <c r="I40" s="21">
        <f t="shared" si="2"/>
        <v>1.2940000000000003</v>
      </c>
      <c r="J40" s="21">
        <f t="shared" si="3"/>
        <v>17.454000000000001</v>
      </c>
      <c r="K40" s="21">
        <f t="shared" si="4"/>
        <v>18</v>
      </c>
      <c r="L40" s="8" t="s">
        <v>190</v>
      </c>
      <c r="M40" s="10" t="s">
        <v>191</v>
      </c>
      <c r="N40" s="11" t="s">
        <v>192</v>
      </c>
      <c r="O40" s="15"/>
      <c r="P40" s="14"/>
      <c r="Q40" s="13"/>
      <c r="R40" s="13"/>
    </row>
    <row r="41" spans="1:18" x14ac:dyDescent="0.2">
      <c r="A41">
        <v>102130</v>
      </c>
      <c r="B41" s="8" t="s">
        <v>62</v>
      </c>
      <c r="C41" s="8" t="s">
        <v>193</v>
      </c>
      <c r="D41" s="8" t="s">
        <v>81</v>
      </c>
      <c r="E41" s="9">
        <v>10.47</v>
      </c>
      <c r="F41" s="9">
        <v>17.440000000000001</v>
      </c>
      <c r="G41" s="20">
        <f t="shared" si="0"/>
        <v>0.15909374945836058</v>
      </c>
      <c r="H41" s="21">
        <f t="shared" si="1"/>
        <v>6.9700000000000006</v>
      </c>
      <c r="I41" s="21">
        <f t="shared" si="2"/>
        <v>1.3940000000000001</v>
      </c>
      <c r="J41" s="21">
        <f t="shared" si="3"/>
        <v>18.834000000000003</v>
      </c>
      <c r="K41" s="21">
        <f t="shared" si="4"/>
        <v>19</v>
      </c>
      <c r="L41" s="8" t="s">
        <v>194</v>
      </c>
      <c r="M41" s="10" t="s">
        <v>143</v>
      </c>
      <c r="N41" s="11" t="s">
        <v>144</v>
      </c>
      <c r="O41" s="15"/>
      <c r="P41" s="14"/>
      <c r="Q41" s="13"/>
      <c r="R41" s="13"/>
    </row>
    <row r="42" spans="1:18" x14ac:dyDescent="0.2">
      <c r="A42">
        <v>102131</v>
      </c>
      <c r="B42" s="8" t="s">
        <v>62</v>
      </c>
      <c r="C42" s="8" t="s">
        <v>195</v>
      </c>
      <c r="D42" s="8" t="s">
        <v>81</v>
      </c>
      <c r="E42" s="9">
        <v>10.47</v>
      </c>
      <c r="F42" s="9">
        <v>17.440000000000001</v>
      </c>
      <c r="G42" s="20">
        <f t="shared" si="0"/>
        <v>0.15909374945836058</v>
      </c>
      <c r="H42" s="21">
        <f t="shared" si="1"/>
        <v>6.9700000000000006</v>
      </c>
      <c r="I42" s="21">
        <f t="shared" si="2"/>
        <v>1.3940000000000001</v>
      </c>
      <c r="J42" s="21">
        <f t="shared" si="3"/>
        <v>18.834000000000003</v>
      </c>
      <c r="K42" s="21">
        <f t="shared" si="4"/>
        <v>19</v>
      </c>
      <c r="L42" s="8" t="s">
        <v>196</v>
      </c>
      <c r="M42" s="10" t="s">
        <v>191</v>
      </c>
      <c r="N42" s="11" t="s">
        <v>192</v>
      </c>
      <c r="O42" s="15"/>
      <c r="P42" s="14"/>
      <c r="Q42" s="13"/>
      <c r="R42" s="13"/>
    </row>
    <row r="43" spans="1:18" x14ac:dyDescent="0.2">
      <c r="A43">
        <v>102132</v>
      </c>
      <c r="B43" s="8" t="s">
        <v>62</v>
      </c>
      <c r="C43" s="8" t="s">
        <v>197</v>
      </c>
      <c r="D43" s="8" t="s">
        <v>125</v>
      </c>
      <c r="E43" s="9">
        <v>12.57</v>
      </c>
      <c r="F43" s="9">
        <v>19.989999999999998</v>
      </c>
      <c r="G43" s="20">
        <f t="shared" si="0"/>
        <v>0.12651506377333865</v>
      </c>
      <c r="H43" s="21">
        <f t="shared" si="1"/>
        <v>7.4199999999999982</v>
      </c>
      <c r="I43" s="21">
        <f t="shared" si="2"/>
        <v>1.4839999999999998</v>
      </c>
      <c r="J43" s="21">
        <f t="shared" si="3"/>
        <v>21.473999999999997</v>
      </c>
      <c r="K43" s="21">
        <f t="shared" si="4"/>
        <v>22</v>
      </c>
      <c r="L43" s="8" t="s">
        <v>198</v>
      </c>
      <c r="M43" s="10" t="s">
        <v>199</v>
      </c>
      <c r="N43" s="11" t="s">
        <v>200</v>
      </c>
      <c r="O43" s="15"/>
      <c r="P43" s="14"/>
      <c r="Q43" s="13"/>
      <c r="R43" s="13"/>
    </row>
    <row r="44" spans="1:18" x14ac:dyDescent="0.2">
      <c r="A44">
        <v>102133</v>
      </c>
      <c r="B44" s="8" t="s">
        <v>62</v>
      </c>
      <c r="C44" s="8" t="s">
        <v>201</v>
      </c>
      <c r="D44" s="8" t="s">
        <v>125</v>
      </c>
      <c r="E44" s="9">
        <v>12.57</v>
      </c>
      <c r="F44" s="9">
        <v>20.96</v>
      </c>
      <c r="G44" s="20">
        <f t="shared" si="0"/>
        <v>0.13265411389140463</v>
      </c>
      <c r="H44" s="21">
        <f t="shared" si="1"/>
        <v>8.39</v>
      </c>
      <c r="I44" s="21">
        <f t="shared" si="2"/>
        <v>1.6780000000000002</v>
      </c>
      <c r="J44" s="21">
        <f t="shared" si="3"/>
        <v>22.638000000000002</v>
      </c>
      <c r="K44" s="21">
        <f t="shared" si="4"/>
        <v>23</v>
      </c>
      <c r="L44" s="8" t="s">
        <v>202</v>
      </c>
      <c r="M44" s="10" t="s">
        <v>179</v>
      </c>
      <c r="N44" s="11" t="s">
        <v>180</v>
      </c>
      <c r="O44" s="15"/>
      <c r="P44" s="14"/>
      <c r="Q44" s="13"/>
      <c r="R44" s="13"/>
    </row>
    <row r="45" spans="1:18" x14ac:dyDescent="0.2">
      <c r="A45">
        <v>102134</v>
      </c>
      <c r="B45" s="8" t="s">
        <v>62</v>
      </c>
      <c r="C45" s="8" t="s">
        <v>203</v>
      </c>
      <c r="D45" s="8" t="s">
        <v>81</v>
      </c>
      <c r="E45" s="9">
        <v>9.73</v>
      </c>
      <c r="F45" s="9">
        <v>16.22</v>
      </c>
      <c r="G45" s="20">
        <f t="shared" si="0"/>
        <v>0.17132674714728288</v>
      </c>
      <c r="H45" s="21">
        <f t="shared" si="1"/>
        <v>6.4899999999999984</v>
      </c>
      <c r="I45" s="21">
        <f t="shared" si="2"/>
        <v>1.2979999999999998</v>
      </c>
      <c r="J45" s="21">
        <f t="shared" si="3"/>
        <v>17.517999999999997</v>
      </c>
      <c r="K45" s="21">
        <f t="shared" si="4"/>
        <v>18</v>
      </c>
      <c r="L45" s="8" t="s">
        <v>204</v>
      </c>
      <c r="M45" s="10" t="s">
        <v>205</v>
      </c>
      <c r="N45" s="11" t="s">
        <v>206</v>
      </c>
      <c r="O45" s="15"/>
      <c r="P45" s="14"/>
      <c r="Q45" s="13"/>
      <c r="R45" s="13"/>
    </row>
    <row r="46" spans="1:18" x14ac:dyDescent="0.2">
      <c r="A46">
        <v>102135</v>
      </c>
      <c r="B46" s="8" t="s">
        <v>62</v>
      </c>
      <c r="C46" s="8" t="s">
        <v>207</v>
      </c>
      <c r="D46" s="8" t="s">
        <v>125</v>
      </c>
      <c r="E46" s="9">
        <v>12.97</v>
      </c>
      <c r="F46" s="9">
        <v>21.62</v>
      </c>
      <c r="G46" s="20">
        <f t="shared" si="0"/>
        <v>0.12852148573690902</v>
      </c>
      <c r="H46" s="21">
        <f t="shared" si="1"/>
        <v>8.65</v>
      </c>
      <c r="I46" s="21">
        <f t="shared" si="2"/>
        <v>1.7300000000000002</v>
      </c>
      <c r="J46" s="21">
        <f t="shared" si="3"/>
        <v>23.35</v>
      </c>
      <c r="K46" s="21">
        <f t="shared" si="4"/>
        <v>24</v>
      </c>
      <c r="L46" s="8" t="s">
        <v>208</v>
      </c>
      <c r="M46" s="10" t="s">
        <v>209</v>
      </c>
      <c r="N46" s="11" t="s">
        <v>210</v>
      </c>
      <c r="O46" s="15"/>
      <c r="P46" s="14"/>
      <c r="Q46" s="13"/>
      <c r="R46" s="13"/>
    </row>
    <row r="47" spans="1:18" x14ac:dyDescent="0.2">
      <c r="A47">
        <v>102136</v>
      </c>
      <c r="B47" s="8" t="s">
        <v>62</v>
      </c>
      <c r="C47" s="8" t="s">
        <v>211</v>
      </c>
      <c r="D47" s="8" t="s">
        <v>125</v>
      </c>
      <c r="E47" s="9">
        <v>12.97</v>
      </c>
      <c r="F47" s="9">
        <v>21.99</v>
      </c>
      <c r="G47" s="20">
        <f t="shared" si="0"/>
        <v>0.13072097462324833</v>
      </c>
      <c r="H47" s="21">
        <f t="shared" si="1"/>
        <v>9.0199999999999978</v>
      </c>
      <c r="I47" s="21">
        <f t="shared" si="2"/>
        <v>1.8039999999999996</v>
      </c>
      <c r="J47" s="21">
        <f t="shared" si="3"/>
        <v>23.793999999999997</v>
      </c>
      <c r="K47" s="21">
        <f t="shared" si="4"/>
        <v>24</v>
      </c>
      <c r="L47" s="8" t="s">
        <v>212</v>
      </c>
      <c r="M47" s="10" t="s">
        <v>213</v>
      </c>
      <c r="N47" s="11" t="s">
        <v>214</v>
      </c>
      <c r="O47" s="15"/>
      <c r="P47" s="14"/>
      <c r="Q47" s="13"/>
      <c r="R47" s="13"/>
    </row>
    <row r="48" spans="1:18" x14ac:dyDescent="0.2">
      <c r="A48">
        <v>102137</v>
      </c>
      <c r="B48" s="8" t="s">
        <v>62</v>
      </c>
      <c r="C48" s="8" t="s">
        <v>215</v>
      </c>
      <c r="D48" s="8" t="s">
        <v>216</v>
      </c>
      <c r="E48" s="9">
        <v>10.63</v>
      </c>
      <c r="F48" s="9">
        <v>17.71</v>
      </c>
      <c r="G48" s="20">
        <f t="shared" si="0"/>
        <v>0.15672996338837611</v>
      </c>
      <c r="H48" s="21">
        <f t="shared" si="1"/>
        <v>7.08</v>
      </c>
      <c r="I48" s="21">
        <f t="shared" si="2"/>
        <v>1.4160000000000001</v>
      </c>
      <c r="J48" s="21">
        <f t="shared" si="3"/>
        <v>19.126000000000001</v>
      </c>
      <c r="K48" s="21">
        <f t="shared" si="4"/>
        <v>20</v>
      </c>
      <c r="L48" s="8" t="s">
        <v>217</v>
      </c>
      <c r="M48" s="10" t="s">
        <v>218</v>
      </c>
      <c r="N48" s="11" t="s">
        <v>219</v>
      </c>
      <c r="O48" s="15"/>
      <c r="P48" s="14"/>
      <c r="Q48" s="13"/>
      <c r="R48" s="13"/>
    </row>
    <row r="49" spans="1:18" x14ac:dyDescent="0.2">
      <c r="A49">
        <v>103101</v>
      </c>
      <c r="B49" s="8" t="s">
        <v>220</v>
      </c>
      <c r="C49" s="8" t="s">
        <v>221</v>
      </c>
      <c r="D49" s="8" t="s">
        <v>125</v>
      </c>
      <c r="E49" s="9">
        <v>5.99</v>
      </c>
      <c r="F49" s="9">
        <v>9.99</v>
      </c>
      <c r="G49" s="20">
        <f t="shared" si="0"/>
        <v>0.27842731764961637</v>
      </c>
      <c r="H49" s="21">
        <f t="shared" si="1"/>
        <v>4</v>
      </c>
      <c r="I49" s="21">
        <f t="shared" si="2"/>
        <v>0.8</v>
      </c>
      <c r="J49" s="21">
        <f t="shared" si="3"/>
        <v>10.790000000000001</v>
      </c>
      <c r="K49" s="21">
        <f t="shared" si="4"/>
        <v>11</v>
      </c>
      <c r="L49" s="8" t="s">
        <v>222</v>
      </c>
      <c r="M49" s="10" t="s">
        <v>223</v>
      </c>
      <c r="N49" s="11" t="s">
        <v>224</v>
      </c>
      <c r="O49" s="15"/>
      <c r="P49" s="14"/>
      <c r="Q49" s="13"/>
      <c r="R49" s="13"/>
    </row>
    <row r="50" spans="1:18" x14ac:dyDescent="0.2">
      <c r="A50">
        <v>103102</v>
      </c>
      <c r="B50" s="8" t="s">
        <v>220</v>
      </c>
      <c r="C50" s="8" t="s">
        <v>225</v>
      </c>
      <c r="D50" s="8" t="s">
        <v>226</v>
      </c>
      <c r="E50" s="9">
        <v>3.29</v>
      </c>
      <c r="F50" s="9">
        <v>5.49</v>
      </c>
      <c r="G50" s="20">
        <f t="shared" si="0"/>
        <v>0.50720152252843187</v>
      </c>
      <c r="H50" s="21">
        <f t="shared" si="1"/>
        <v>2.2000000000000002</v>
      </c>
      <c r="I50" s="21">
        <f t="shared" si="2"/>
        <v>0.44000000000000006</v>
      </c>
      <c r="J50" s="21">
        <f t="shared" si="3"/>
        <v>5.9300000000000006</v>
      </c>
      <c r="K50" s="21">
        <f t="shared" si="4"/>
        <v>6</v>
      </c>
      <c r="L50" s="8" t="s">
        <v>227</v>
      </c>
      <c r="M50" s="10" t="s">
        <v>228</v>
      </c>
      <c r="N50" s="11" t="s">
        <v>229</v>
      </c>
      <c r="O50" s="15"/>
      <c r="P50" s="14"/>
      <c r="Q50" s="13"/>
      <c r="R50" s="13"/>
    </row>
    <row r="51" spans="1:18" x14ac:dyDescent="0.2">
      <c r="A51">
        <v>103103</v>
      </c>
      <c r="B51" s="8" t="s">
        <v>220</v>
      </c>
      <c r="C51" s="8" t="s">
        <v>230</v>
      </c>
      <c r="D51" s="8" t="s">
        <v>231</v>
      </c>
      <c r="E51" s="9">
        <v>3.29</v>
      </c>
      <c r="F51" s="9">
        <v>5.49</v>
      </c>
      <c r="G51" s="20">
        <f t="shared" si="0"/>
        <v>0.50720152252843187</v>
      </c>
      <c r="H51" s="21">
        <f t="shared" si="1"/>
        <v>2.2000000000000002</v>
      </c>
      <c r="I51" s="21">
        <f t="shared" si="2"/>
        <v>0.44000000000000006</v>
      </c>
      <c r="J51" s="21">
        <f t="shared" si="3"/>
        <v>5.9300000000000006</v>
      </c>
      <c r="K51" s="21">
        <f t="shared" si="4"/>
        <v>6</v>
      </c>
      <c r="L51" s="8" t="s">
        <v>232</v>
      </c>
      <c r="M51" s="10" t="s">
        <v>233</v>
      </c>
      <c r="N51" s="11" t="s">
        <v>234</v>
      </c>
      <c r="O51" s="15"/>
      <c r="P51" s="14"/>
      <c r="Q51" s="13"/>
      <c r="R51" s="13"/>
    </row>
    <row r="52" spans="1:18" x14ac:dyDescent="0.2">
      <c r="A52">
        <v>103104</v>
      </c>
      <c r="B52" s="8" t="s">
        <v>220</v>
      </c>
      <c r="C52" s="8" t="s">
        <v>235</v>
      </c>
      <c r="D52" s="8" t="s">
        <v>231</v>
      </c>
      <c r="E52" s="9">
        <v>3.59</v>
      </c>
      <c r="F52" s="9">
        <v>5.99</v>
      </c>
      <c r="G52" s="20">
        <f t="shared" si="0"/>
        <v>0.46476982642903147</v>
      </c>
      <c r="H52" s="21">
        <f t="shared" si="1"/>
        <v>2.4000000000000004</v>
      </c>
      <c r="I52" s="21">
        <f t="shared" si="2"/>
        <v>0.48000000000000009</v>
      </c>
      <c r="J52" s="21">
        <f t="shared" si="3"/>
        <v>6.4700000000000006</v>
      </c>
      <c r="K52" s="21">
        <f t="shared" si="4"/>
        <v>7</v>
      </c>
      <c r="L52" s="8" t="s">
        <v>236</v>
      </c>
      <c r="M52" s="10" t="s">
        <v>237</v>
      </c>
      <c r="N52" s="15"/>
      <c r="O52" s="15"/>
      <c r="P52" s="14"/>
      <c r="Q52" s="13"/>
      <c r="R52" s="13"/>
    </row>
    <row r="53" spans="1:18" x14ac:dyDescent="0.2">
      <c r="A53">
        <v>103105</v>
      </c>
      <c r="B53" s="8" t="s">
        <v>220</v>
      </c>
      <c r="C53" s="8" t="s">
        <v>238</v>
      </c>
      <c r="D53" s="8" t="s">
        <v>231</v>
      </c>
      <c r="E53" s="9">
        <v>3.29</v>
      </c>
      <c r="F53" s="9">
        <v>5.49</v>
      </c>
      <c r="G53" s="20">
        <f t="shared" si="0"/>
        <v>0.50720152252843187</v>
      </c>
      <c r="H53" s="21">
        <f t="shared" si="1"/>
        <v>2.2000000000000002</v>
      </c>
      <c r="I53" s="21">
        <f t="shared" si="2"/>
        <v>0.44000000000000006</v>
      </c>
      <c r="J53" s="21">
        <f t="shared" si="3"/>
        <v>5.9300000000000006</v>
      </c>
      <c r="K53" s="21">
        <f t="shared" si="4"/>
        <v>6</v>
      </c>
      <c r="L53" s="8" t="s">
        <v>239</v>
      </c>
      <c r="M53" s="10" t="s">
        <v>240</v>
      </c>
      <c r="N53" s="15"/>
      <c r="O53" s="15"/>
      <c r="P53" s="14"/>
      <c r="Q53" s="13"/>
      <c r="R53" s="13"/>
    </row>
    <row r="54" spans="1:18" x14ac:dyDescent="0.2">
      <c r="A54">
        <v>103106</v>
      </c>
      <c r="B54" s="8" t="s">
        <v>220</v>
      </c>
      <c r="C54" s="8" t="s">
        <v>241</v>
      </c>
      <c r="D54" s="8" t="s">
        <v>76</v>
      </c>
      <c r="E54" s="9">
        <v>3.29</v>
      </c>
      <c r="F54" s="9">
        <v>5.49</v>
      </c>
      <c r="G54" s="20">
        <f t="shared" si="0"/>
        <v>0.50720152252843187</v>
      </c>
      <c r="H54" s="21">
        <f t="shared" si="1"/>
        <v>2.2000000000000002</v>
      </c>
      <c r="I54" s="21">
        <f t="shared" si="2"/>
        <v>0.44000000000000006</v>
      </c>
      <c r="J54" s="21">
        <f t="shared" si="3"/>
        <v>5.9300000000000006</v>
      </c>
      <c r="K54" s="21">
        <f t="shared" si="4"/>
        <v>6</v>
      </c>
      <c r="L54" s="8" t="s">
        <v>242</v>
      </c>
      <c r="M54" s="10" t="s">
        <v>243</v>
      </c>
      <c r="N54" s="11" t="s">
        <v>244</v>
      </c>
      <c r="O54" s="15"/>
      <c r="P54" s="14"/>
      <c r="Q54" s="13"/>
      <c r="R54" s="13"/>
    </row>
    <row r="55" spans="1:18" x14ac:dyDescent="0.2">
      <c r="A55">
        <v>103107</v>
      </c>
      <c r="B55" s="8" t="s">
        <v>220</v>
      </c>
      <c r="C55" s="8" t="s">
        <v>245</v>
      </c>
      <c r="D55" s="8" t="s">
        <v>231</v>
      </c>
      <c r="E55" s="9">
        <v>3.29</v>
      </c>
      <c r="F55" s="9">
        <v>5.49</v>
      </c>
      <c r="G55" s="20">
        <f t="shared" si="0"/>
        <v>0.50720152252843187</v>
      </c>
      <c r="H55" s="21">
        <f t="shared" si="1"/>
        <v>2.2000000000000002</v>
      </c>
      <c r="I55" s="21">
        <f t="shared" si="2"/>
        <v>0.44000000000000006</v>
      </c>
      <c r="J55" s="21">
        <f t="shared" si="3"/>
        <v>5.9300000000000006</v>
      </c>
      <c r="K55" s="21">
        <f t="shared" si="4"/>
        <v>6</v>
      </c>
      <c r="L55" s="8" t="s">
        <v>246</v>
      </c>
      <c r="M55" s="10" t="s">
        <v>247</v>
      </c>
      <c r="N55" s="11" t="s">
        <v>248</v>
      </c>
      <c r="O55" s="15"/>
      <c r="P55" s="14"/>
      <c r="Q55" s="13"/>
      <c r="R55" s="13"/>
    </row>
    <row r="56" spans="1:18" x14ac:dyDescent="0.2">
      <c r="A56">
        <v>103108</v>
      </c>
      <c r="B56" s="8" t="s">
        <v>220</v>
      </c>
      <c r="C56" s="8" t="s">
        <v>249</v>
      </c>
      <c r="D56" s="8" t="s">
        <v>216</v>
      </c>
      <c r="E56" s="9">
        <v>5.99</v>
      </c>
      <c r="F56" s="9">
        <v>9.99</v>
      </c>
      <c r="G56" s="20">
        <f t="shared" si="0"/>
        <v>0.27842731764961637</v>
      </c>
      <c r="H56" s="21">
        <f t="shared" si="1"/>
        <v>4</v>
      </c>
      <c r="I56" s="21">
        <f t="shared" si="2"/>
        <v>0.8</v>
      </c>
      <c r="J56" s="21">
        <f t="shared" si="3"/>
        <v>10.790000000000001</v>
      </c>
      <c r="K56" s="21">
        <f t="shared" si="4"/>
        <v>11</v>
      </c>
      <c r="L56" s="8" t="s">
        <v>250</v>
      </c>
      <c r="M56" s="10" t="s">
        <v>251</v>
      </c>
      <c r="N56" s="11" t="s">
        <v>252</v>
      </c>
      <c r="O56" s="11" t="s">
        <v>253</v>
      </c>
      <c r="P56" s="14"/>
      <c r="Q56" s="13"/>
      <c r="R56" s="13"/>
    </row>
    <row r="57" spans="1:18" x14ac:dyDescent="0.2">
      <c r="A57">
        <v>103109</v>
      </c>
      <c r="B57" s="8" t="s">
        <v>220</v>
      </c>
      <c r="C57" s="8" t="s">
        <v>254</v>
      </c>
      <c r="D57" s="8" t="s">
        <v>39</v>
      </c>
      <c r="E57" s="9">
        <v>7.79</v>
      </c>
      <c r="F57" s="9">
        <v>12.99</v>
      </c>
      <c r="G57" s="20">
        <f t="shared" si="0"/>
        <v>0.21405936645678195</v>
      </c>
      <c r="H57" s="21">
        <f t="shared" si="1"/>
        <v>5.2</v>
      </c>
      <c r="I57" s="21">
        <f t="shared" si="2"/>
        <v>1.04</v>
      </c>
      <c r="J57" s="21">
        <f t="shared" si="3"/>
        <v>14.030000000000001</v>
      </c>
      <c r="K57" s="21">
        <f t="shared" si="4"/>
        <v>15</v>
      </c>
      <c r="L57" s="8" t="s">
        <v>255</v>
      </c>
      <c r="M57" s="10" t="s">
        <v>256</v>
      </c>
      <c r="N57" s="11" t="s">
        <v>257</v>
      </c>
      <c r="O57" s="11" t="s">
        <v>258</v>
      </c>
      <c r="P57" s="14"/>
      <c r="Q57" s="13"/>
      <c r="R57" s="13"/>
    </row>
    <row r="58" spans="1:18" x14ac:dyDescent="0.2">
      <c r="A58">
        <v>103110</v>
      </c>
      <c r="B58" s="8" t="s">
        <v>220</v>
      </c>
      <c r="C58" s="8" t="s">
        <v>259</v>
      </c>
      <c r="D58" s="8" t="s">
        <v>216</v>
      </c>
      <c r="E58" s="9">
        <v>5.99</v>
      </c>
      <c r="F58" s="9">
        <v>9.99</v>
      </c>
      <c r="G58" s="20">
        <f t="shared" si="0"/>
        <v>0.27842731764961637</v>
      </c>
      <c r="H58" s="21">
        <f t="shared" si="1"/>
        <v>4</v>
      </c>
      <c r="I58" s="21">
        <f t="shared" si="2"/>
        <v>0.8</v>
      </c>
      <c r="J58" s="21">
        <f t="shared" si="3"/>
        <v>10.790000000000001</v>
      </c>
      <c r="K58" s="21">
        <f t="shared" si="4"/>
        <v>11</v>
      </c>
      <c r="L58" s="8" t="s">
        <v>260</v>
      </c>
      <c r="M58" s="10" t="s">
        <v>261</v>
      </c>
      <c r="N58" s="11" t="s">
        <v>262</v>
      </c>
      <c r="O58" s="15"/>
      <c r="P58" s="14"/>
      <c r="Q58" s="13"/>
      <c r="R58" s="13"/>
    </row>
    <row r="59" spans="1:18" x14ac:dyDescent="0.2">
      <c r="A59">
        <v>103111</v>
      </c>
      <c r="B59" s="8" t="s">
        <v>220</v>
      </c>
      <c r="C59" s="8" t="s">
        <v>263</v>
      </c>
      <c r="D59" s="8" t="s">
        <v>216</v>
      </c>
      <c r="E59" s="9">
        <v>5.99</v>
      </c>
      <c r="F59" s="9">
        <v>9.99</v>
      </c>
      <c r="G59" s="20">
        <f t="shared" si="0"/>
        <v>0.27842731764961637</v>
      </c>
      <c r="H59" s="21">
        <f t="shared" si="1"/>
        <v>4</v>
      </c>
      <c r="I59" s="21">
        <f t="shared" si="2"/>
        <v>0.8</v>
      </c>
      <c r="J59" s="21">
        <f t="shared" si="3"/>
        <v>10.790000000000001</v>
      </c>
      <c r="K59" s="21">
        <f t="shared" si="4"/>
        <v>11</v>
      </c>
      <c r="L59" s="8" t="s">
        <v>264</v>
      </c>
      <c r="M59" s="10" t="s">
        <v>265</v>
      </c>
      <c r="N59" s="11" t="s">
        <v>266</v>
      </c>
      <c r="O59" s="15"/>
      <c r="P59" s="14"/>
      <c r="Q59" s="13"/>
      <c r="R59" s="13"/>
    </row>
    <row r="60" spans="1:18" x14ac:dyDescent="0.2">
      <c r="A60">
        <v>103112</v>
      </c>
      <c r="B60" s="8" t="s">
        <v>220</v>
      </c>
      <c r="C60" s="8" t="s">
        <v>267</v>
      </c>
      <c r="D60" s="8" t="s">
        <v>268</v>
      </c>
      <c r="E60" s="9">
        <v>3.29</v>
      </c>
      <c r="F60" s="9">
        <v>5.49</v>
      </c>
      <c r="G60" s="20">
        <f t="shared" si="0"/>
        <v>0.50720152252843187</v>
      </c>
      <c r="H60" s="21">
        <f t="shared" si="1"/>
        <v>2.2000000000000002</v>
      </c>
      <c r="I60" s="21">
        <f t="shared" si="2"/>
        <v>0.44000000000000006</v>
      </c>
      <c r="J60" s="21">
        <f t="shared" si="3"/>
        <v>5.9300000000000006</v>
      </c>
      <c r="K60" s="21">
        <f t="shared" si="4"/>
        <v>6</v>
      </c>
      <c r="L60" s="8" t="s">
        <v>269</v>
      </c>
      <c r="M60" s="10" t="s">
        <v>270</v>
      </c>
      <c r="N60" s="15"/>
      <c r="O60" s="15"/>
      <c r="P60" s="14"/>
      <c r="Q60" s="13"/>
      <c r="R60" s="13"/>
    </row>
    <row r="61" spans="1:18" x14ac:dyDescent="0.2">
      <c r="A61">
        <v>103113</v>
      </c>
      <c r="B61" s="8" t="s">
        <v>220</v>
      </c>
      <c r="C61" s="8" t="s">
        <v>271</v>
      </c>
      <c r="D61" s="8" t="s">
        <v>39</v>
      </c>
      <c r="E61" s="9">
        <v>4.1900000000000004</v>
      </c>
      <c r="F61" s="9">
        <v>6.99</v>
      </c>
      <c r="G61" s="20">
        <f t="shared" si="0"/>
        <v>0.39815220920363853</v>
      </c>
      <c r="H61" s="21">
        <f t="shared" si="1"/>
        <v>2.8</v>
      </c>
      <c r="I61" s="21">
        <f t="shared" si="2"/>
        <v>0.55999999999999994</v>
      </c>
      <c r="J61" s="21">
        <f t="shared" si="3"/>
        <v>7.55</v>
      </c>
      <c r="K61" s="21">
        <f t="shared" si="4"/>
        <v>8</v>
      </c>
      <c r="L61" s="8" t="s">
        <v>272</v>
      </c>
      <c r="M61" s="10" t="s">
        <v>273</v>
      </c>
      <c r="N61" s="11" t="s">
        <v>274</v>
      </c>
      <c r="O61" s="15"/>
      <c r="P61" s="14"/>
      <c r="Q61" s="13"/>
      <c r="R61" s="13"/>
    </row>
    <row r="62" spans="1:18" x14ac:dyDescent="0.2">
      <c r="A62">
        <v>103114</v>
      </c>
      <c r="B62" s="8" t="s">
        <v>220</v>
      </c>
      <c r="C62" s="8" t="s">
        <v>271</v>
      </c>
      <c r="D62" s="8" t="s">
        <v>81</v>
      </c>
      <c r="E62" s="9">
        <v>7.79</v>
      </c>
      <c r="F62" s="9">
        <v>12.99</v>
      </c>
      <c r="G62" s="20">
        <f t="shared" si="0"/>
        <v>0.21405936645678195</v>
      </c>
      <c r="H62" s="21">
        <f t="shared" si="1"/>
        <v>5.2</v>
      </c>
      <c r="I62" s="21">
        <f t="shared" si="2"/>
        <v>1.04</v>
      </c>
      <c r="J62" s="21">
        <f t="shared" si="3"/>
        <v>14.030000000000001</v>
      </c>
      <c r="K62" s="21">
        <f t="shared" si="4"/>
        <v>15</v>
      </c>
      <c r="L62" s="8" t="s">
        <v>275</v>
      </c>
      <c r="M62" s="10" t="s">
        <v>276</v>
      </c>
      <c r="N62" s="11" t="s">
        <v>277</v>
      </c>
      <c r="O62" s="15"/>
      <c r="P62" s="14"/>
      <c r="Q62" s="13"/>
      <c r="R62" s="13"/>
    </row>
    <row r="63" spans="1:18" x14ac:dyDescent="0.2">
      <c r="A63">
        <v>103115</v>
      </c>
      <c r="B63" s="8" t="s">
        <v>220</v>
      </c>
      <c r="C63" s="8" t="s">
        <v>271</v>
      </c>
      <c r="D63" s="8" t="s">
        <v>216</v>
      </c>
      <c r="E63" s="9">
        <v>7.79</v>
      </c>
      <c r="F63" s="9">
        <v>12.99</v>
      </c>
      <c r="G63" s="20">
        <f t="shared" si="0"/>
        <v>0.21405936645678195</v>
      </c>
      <c r="H63" s="21">
        <f t="shared" si="1"/>
        <v>5.2</v>
      </c>
      <c r="I63" s="21">
        <f t="shared" si="2"/>
        <v>1.04</v>
      </c>
      <c r="J63" s="21">
        <f t="shared" si="3"/>
        <v>14.030000000000001</v>
      </c>
      <c r="K63" s="21">
        <f t="shared" si="4"/>
        <v>15</v>
      </c>
      <c r="L63" s="8" t="s">
        <v>278</v>
      </c>
      <c r="M63" s="10" t="s">
        <v>279</v>
      </c>
      <c r="N63" s="11" t="s">
        <v>280</v>
      </c>
      <c r="O63" s="15"/>
      <c r="P63" s="14"/>
      <c r="Q63" s="13"/>
      <c r="R63" s="13"/>
    </row>
    <row r="64" spans="1:18" x14ac:dyDescent="0.2">
      <c r="A64">
        <v>103116</v>
      </c>
      <c r="B64" s="8" t="s">
        <v>220</v>
      </c>
      <c r="C64" s="8" t="s">
        <v>271</v>
      </c>
      <c r="D64" s="8" t="s">
        <v>70</v>
      </c>
      <c r="E64" s="9">
        <v>12.59</v>
      </c>
      <c r="F64" s="9">
        <v>20.99</v>
      </c>
      <c r="G64" s="20">
        <f t="shared" si="0"/>
        <v>0.13242225476174405</v>
      </c>
      <c r="H64" s="21">
        <f t="shared" si="1"/>
        <v>8.3999999999999986</v>
      </c>
      <c r="I64" s="21">
        <f t="shared" si="2"/>
        <v>1.6799999999999997</v>
      </c>
      <c r="J64" s="21">
        <f t="shared" si="3"/>
        <v>22.669999999999998</v>
      </c>
      <c r="K64" s="21">
        <f t="shared" si="4"/>
        <v>23</v>
      </c>
      <c r="L64" s="8" t="s">
        <v>281</v>
      </c>
      <c r="M64" s="10" t="s">
        <v>282</v>
      </c>
      <c r="N64" s="11" t="s">
        <v>283</v>
      </c>
      <c r="O64" s="15"/>
      <c r="P64" s="14"/>
      <c r="Q64" s="13"/>
      <c r="R64" s="13"/>
    </row>
    <row r="65" spans="1:18" x14ac:dyDescent="0.2">
      <c r="A65">
        <v>103117</v>
      </c>
      <c r="B65" s="8" t="s">
        <v>220</v>
      </c>
      <c r="C65" s="8" t="s">
        <v>284</v>
      </c>
      <c r="D65" s="8" t="s">
        <v>81</v>
      </c>
      <c r="E65" s="9">
        <v>7.79</v>
      </c>
      <c r="F65" s="9">
        <v>12.99</v>
      </c>
      <c r="G65" s="20">
        <f t="shared" si="0"/>
        <v>0.21405936645678195</v>
      </c>
      <c r="H65" s="21">
        <f t="shared" si="1"/>
        <v>5.2</v>
      </c>
      <c r="I65" s="21">
        <f t="shared" si="2"/>
        <v>1.04</v>
      </c>
      <c r="J65" s="21">
        <f t="shared" si="3"/>
        <v>14.030000000000001</v>
      </c>
      <c r="K65" s="21">
        <f t="shared" si="4"/>
        <v>15</v>
      </c>
      <c r="L65" s="8" t="s">
        <v>285</v>
      </c>
      <c r="M65" s="10" t="s">
        <v>286</v>
      </c>
      <c r="N65" s="11" t="s">
        <v>287</v>
      </c>
      <c r="O65" s="15"/>
      <c r="P65" s="14"/>
      <c r="Q65" s="13"/>
      <c r="R65" s="13"/>
    </row>
    <row r="66" spans="1:18" x14ac:dyDescent="0.2">
      <c r="A66">
        <v>103118</v>
      </c>
      <c r="B66" s="8" t="s">
        <v>220</v>
      </c>
      <c r="C66" s="8" t="s">
        <v>288</v>
      </c>
      <c r="D66" s="8" t="s">
        <v>70</v>
      </c>
      <c r="E66" s="9">
        <v>12.59</v>
      </c>
      <c r="F66" s="9">
        <v>20.99</v>
      </c>
      <c r="G66" s="20">
        <f t="shared" si="0"/>
        <v>0.13242225476174405</v>
      </c>
      <c r="H66" s="21">
        <f t="shared" si="1"/>
        <v>8.3999999999999986</v>
      </c>
      <c r="I66" s="21">
        <f t="shared" si="2"/>
        <v>1.6799999999999997</v>
      </c>
      <c r="J66" s="21">
        <f t="shared" si="3"/>
        <v>22.669999999999998</v>
      </c>
      <c r="K66" s="21">
        <f t="shared" si="4"/>
        <v>23</v>
      </c>
      <c r="L66" s="8" t="s">
        <v>289</v>
      </c>
      <c r="M66" s="10" t="s">
        <v>290</v>
      </c>
      <c r="N66" s="11" t="s">
        <v>291</v>
      </c>
      <c r="O66" s="15"/>
      <c r="P66" s="14"/>
      <c r="Q66" s="13"/>
      <c r="R66" s="13"/>
    </row>
    <row r="67" spans="1:18" x14ac:dyDescent="0.2">
      <c r="A67">
        <v>103119</v>
      </c>
      <c r="B67" s="8" t="s">
        <v>220</v>
      </c>
      <c r="C67" s="8" t="s">
        <v>292</v>
      </c>
      <c r="D67" s="8" t="s">
        <v>216</v>
      </c>
      <c r="E67" s="9">
        <v>7.79</v>
      </c>
      <c r="F67" s="9">
        <v>12.99</v>
      </c>
      <c r="G67" s="20">
        <f t="shared" ref="G67:G130" si="5">+(F67/E67)/E67</f>
        <v>0.21405936645678195</v>
      </c>
      <c r="H67" s="21">
        <f t="shared" ref="H67:H130" si="6">+F67-E67</f>
        <v>5.2</v>
      </c>
      <c r="I67" s="21">
        <f t="shared" ref="I67:I130" si="7">+H67*0.2</f>
        <v>1.04</v>
      </c>
      <c r="J67" s="21">
        <f t="shared" ref="J67:J130" si="8">+E67+H67+I67</f>
        <v>14.030000000000001</v>
      </c>
      <c r="K67" s="21">
        <f t="shared" ref="K67:K130" si="9">+ROUNDUP(J67,0)</f>
        <v>15</v>
      </c>
      <c r="L67" s="8" t="s">
        <v>293</v>
      </c>
      <c r="M67" s="10" t="s">
        <v>294</v>
      </c>
      <c r="N67" s="11" t="s">
        <v>295</v>
      </c>
      <c r="O67" s="15"/>
      <c r="P67" s="14"/>
      <c r="Q67" s="13"/>
      <c r="R67" s="13"/>
    </row>
    <row r="68" spans="1:18" x14ac:dyDescent="0.2">
      <c r="A68">
        <v>103120</v>
      </c>
      <c r="B68" s="8" t="s">
        <v>220</v>
      </c>
      <c r="C68" s="8" t="s">
        <v>296</v>
      </c>
      <c r="D68" s="8" t="s">
        <v>216</v>
      </c>
      <c r="E68" s="9">
        <v>5.99</v>
      </c>
      <c r="F68" s="9">
        <v>9.99</v>
      </c>
      <c r="G68" s="20">
        <f t="shared" si="5"/>
        <v>0.27842731764961637</v>
      </c>
      <c r="H68" s="21">
        <f t="shared" si="6"/>
        <v>4</v>
      </c>
      <c r="I68" s="21">
        <f t="shared" si="7"/>
        <v>0.8</v>
      </c>
      <c r="J68" s="21">
        <f t="shared" si="8"/>
        <v>10.790000000000001</v>
      </c>
      <c r="K68" s="21">
        <f t="shared" si="9"/>
        <v>11</v>
      </c>
      <c r="L68" s="8" t="s">
        <v>297</v>
      </c>
      <c r="M68" s="10" t="s">
        <v>298</v>
      </c>
      <c r="N68" s="11" t="s">
        <v>299</v>
      </c>
      <c r="O68" s="15"/>
      <c r="P68" s="14"/>
      <c r="Q68" s="13"/>
      <c r="R68" s="13"/>
    </row>
    <row r="69" spans="1:18" x14ac:dyDescent="0.2">
      <c r="A69">
        <v>103121</v>
      </c>
      <c r="B69" s="8" t="s">
        <v>220</v>
      </c>
      <c r="C69" s="8" t="s">
        <v>300</v>
      </c>
      <c r="D69" s="8" t="s">
        <v>81</v>
      </c>
      <c r="E69" s="9">
        <v>6.59</v>
      </c>
      <c r="F69" s="9">
        <v>10.99</v>
      </c>
      <c r="G69" s="20">
        <f t="shared" si="5"/>
        <v>0.25306195758046063</v>
      </c>
      <c r="H69" s="21">
        <f t="shared" si="6"/>
        <v>4.4000000000000004</v>
      </c>
      <c r="I69" s="21">
        <f t="shared" si="7"/>
        <v>0.88000000000000012</v>
      </c>
      <c r="J69" s="21">
        <f t="shared" si="8"/>
        <v>11.870000000000001</v>
      </c>
      <c r="K69" s="21">
        <f t="shared" si="9"/>
        <v>12</v>
      </c>
      <c r="L69" s="8" t="s">
        <v>301</v>
      </c>
      <c r="M69" s="10" t="s">
        <v>302</v>
      </c>
      <c r="N69" s="11" t="s">
        <v>303</v>
      </c>
      <c r="O69" s="15"/>
      <c r="P69" s="14"/>
      <c r="Q69" s="13"/>
      <c r="R69" s="13"/>
    </row>
    <row r="70" spans="1:18" x14ac:dyDescent="0.2">
      <c r="A70">
        <v>103122</v>
      </c>
      <c r="B70" s="8" t="s">
        <v>220</v>
      </c>
      <c r="C70" s="8" t="s">
        <v>304</v>
      </c>
      <c r="D70" s="8" t="s">
        <v>305</v>
      </c>
      <c r="E70" s="9">
        <v>3.29</v>
      </c>
      <c r="F70" s="9">
        <v>5.49</v>
      </c>
      <c r="G70" s="20">
        <f t="shared" si="5"/>
        <v>0.50720152252843187</v>
      </c>
      <c r="H70" s="21">
        <f t="shared" si="6"/>
        <v>2.2000000000000002</v>
      </c>
      <c r="I70" s="21">
        <f t="shared" si="7"/>
        <v>0.44000000000000006</v>
      </c>
      <c r="J70" s="21">
        <f t="shared" si="8"/>
        <v>5.9300000000000006</v>
      </c>
      <c r="K70" s="21">
        <f t="shared" si="9"/>
        <v>6</v>
      </c>
      <c r="L70" s="8" t="s">
        <v>306</v>
      </c>
      <c r="M70" s="10" t="s">
        <v>307</v>
      </c>
      <c r="N70" s="15"/>
      <c r="O70" s="15"/>
      <c r="P70" s="14"/>
      <c r="Q70" s="13"/>
      <c r="R70" s="13"/>
    </row>
    <row r="71" spans="1:18" x14ac:dyDescent="0.2">
      <c r="A71">
        <v>103123</v>
      </c>
      <c r="B71" s="8" t="s">
        <v>220</v>
      </c>
      <c r="C71" s="8" t="s">
        <v>308</v>
      </c>
      <c r="D71" s="8" t="s">
        <v>305</v>
      </c>
      <c r="E71" s="9">
        <v>4.5</v>
      </c>
      <c r="F71" s="9">
        <v>7.49</v>
      </c>
      <c r="G71" s="20">
        <f t="shared" si="5"/>
        <v>0.36987654320987651</v>
      </c>
      <c r="H71" s="21">
        <f t="shared" si="6"/>
        <v>2.99</v>
      </c>
      <c r="I71" s="21">
        <f t="shared" si="7"/>
        <v>0.59800000000000009</v>
      </c>
      <c r="J71" s="21">
        <f t="shared" si="8"/>
        <v>8.088000000000001</v>
      </c>
      <c r="K71" s="21">
        <f t="shared" si="9"/>
        <v>9</v>
      </c>
      <c r="L71" s="8" t="s">
        <v>309</v>
      </c>
      <c r="M71" s="10" t="s">
        <v>310</v>
      </c>
      <c r="N71" s="11" t="s">
        <v>311</v>
      </c>
      <c r="O71" s="11" t="s">
        <v>312</v>
      </c>
      <c r="P71" s="14"/>
      <c r="Q71" s="13"/>
      <c r="R71" s="13"/>
    </row>
    <row r="72" spans="1:18" x14ac:dyDescent="0.2">
      <c r="A72">
        <v>104101</v>
      </c>
      <c r="B72" s="8" t="s">
        <v>313</v>
      </c>
      <c r="C72" s="8" t="s">
        <v>314</v>
      </c>
      <c r="D72" s="8" t="s">
        <v>315</v>
      </c>
      <c r="E72" s="9">
        <v>28.21</v>
      </c>
      <c r="F72" s="9">
        <v>41.99</v>
      </c>
      <c r="G72" s="20">
        <f t="shared" si="5"/>
        <v>5.2764241852988697E-2</v>
      </c>
      <c r="H72" s="21">
        <f t="shared" si="6"/>
        <v>13.780000000000001</v>
      </c>
      <c r="I72" s="21">
        <f t="shared" si="7"/>
        <v>2.7560000000000002</v>
      </c>
      <c r="J72" s="21">
        <f t="shared" si="8"/>
        <v>44.746000000000002</v>
      </c>
      <c r="K72" s="21">
        <f t="shared" si="9"/>
        <v>45</v>
      </c>
      <c r="L72" s="8" t="s">
        <v>316</v>
      </c>
      <c r="M72" s="10" t="s">
        <v>317</v>
      </c>
      <c r="N72" s="15"/>
      <c r="O72" s="15"/>
      <c r="P72" s="14"/>
      <c r="Q72" s="13"/>
      <c r="R72" s="13"/>
    </row>
    <row r="73" spans="1:18" x14ac:dyDescent="0.2">
      <c r="A73">
        <v>104102</v>
      </c>
      <c r="B73" s="8" t="s">
        <v>313</v>
      </c>
      <c r="C73" s="8" t="s">
        <v>318</v>
      </c>
      <c r="D73" s="8" t="s">
        <v>315</v>
      </c>
      <c r="E73" s="9">
        <v>28.4</v>
      </c>
      <c r="F73" s="9">
        <v>41.99</v>
      </c>
      <c r="G73" s="20">
        <f t="shared" si="5"/>
        <v>5.2060603054949424E-2</v>
      </c>
      <c r="H73" s="21">
        <f t="shared" si="6"/>
        <v>13.590000000000003</v>
      </c>
      <c r="I73" s="21">
        <f t="shared" si="7"/>
        <v>2.7180000000000009</v>
      </c>
      <c r="J73" s="21">
        <f t="shared" si="8"/>
        <v>44.708000000000006</v>
      </c>
      <c r="K73" s="21">
        <f t="shared" si="9"/>
        <v>45</v>
      </c>
      <c r="L73" s="8" t="s">
        <v>319</v>
      </c>
      <c r="M73" s="10" t="s">
        <v>320</v>
      </c>
      <c r="N73" s="15"/>
      <c r="O73" s="15"/>
      <c r="P73" s="14"/>
      <c r="Q73" s="13"/>
      <c r="R73" s="13"/>
    </row>
    <row r="74" spans="1:18" x14ac:dyDescent="0.2">
      <c r="A74">
        <v>105101</v>
      </c>
      <c r="B74" s="8" t="s">
        <v>321</v>
      </c>
      <c r="C74" s="8" t="s">
        <v>322</v>
      </c>
      <c r="D74" s="8" t="s">
        <v>42</v>
      </c>
      <c r="E74" s="9">
        <v>12.42</v>
      </c>
      <c r="F74" s="9">
        <v>24.84</v>
      </c>
      <c r="G74" s="20">
        <f t="shared" si="5"/>
        <v>0.1610305958132045</v>
      </c>
      <c r="H74" s="21">
        <f t="shared" si="6"/>
        <v>12.42</v>
      </c>
      <c r="I74" s="21">
        <f t="shared" si="7"/>
        <v>2.484</v>
      </c>
      <c r="J74" s="21">
        <f t="shared" si="8"/>
        <v>27.323999999999998</v>
      </c>
      <c r="K74" s="21">
        <f t="shared" si="9"/>
        <v>28</v>
      </c>
      <c r="L74" s="8" t="s">
        <v>323</v>
      </c>
      <c r="M74" s="10" t="s">
        <v>324</v>
      </c>
      <c r="N74" s="11" t="s">
        <v>325</v>
      </c>
      <c r="O74" s="15"/>
      <c r="P74" s="14"/>
      <c r="Q74" s="13"/>
      <c r="R74" s="13"/>
    </row>
    <row r="75" spans="1:18" x14ac:dyDescent="0.2">
      <c r="A75">
        <v>105102</v>
      </c>
      <c r="B75" s="8" t="s">
        <v>321</v>
      </c>
      <c r="C75" s="8" t="s">
        <v>326</v>
      </c>
      <c r="D75" s="8" t="s">
        <v>327</v>
      </c>
      <c r="E75" s="9">
        <v>12.42</v>
      </c>
      <c r="F75" s="9">
        <v>24.84</v>
      </c>
      <c r="G75" s="20">
        <f t="shared" si="5"/>
        <v>0.1610305958132045</v>
      </c>
      <c r="H75" s="21">
        <f t="shared" si="6"/>
        <v>12.42</v>
      </c>
      <c r="I75" s="21">
        <f t="shared" si="7"/>
        <v>2.484</v>
      </c>
      <c r="J75" s="21">
        <f t="shared" si="8"/>
        <v>27.323999999999998</v>
      </c>
      <c r="K75" s="21">
        <f t="shared" si="9"/>
        <v>28</v>
      </c>
      <c r="L75" s="8" t="s">
        <v>328</v>
      </c>
      <c r="M75" s="10" t="s">
        <v>329</v>
      </c>
      <c r="N75" s="11" t="s">
        <v>330</v>
      </c>
      <c r="O75" s="15"/>
      <c r="P75" s="14"/>
      <c r="Q75" s="13"/>
      <c r="R75" s="13"/>
    </row>
    <row r="76" spans="1:18" x14ac:dyDescent="0.2">
      <c r="A76">
        <v>105103</v>
      </c>
      <c r="B76" s="8" t="s">
        <v>321</v>
      </c>
      <c r="C76" s="8" t="s">
        <v>331</v>
      </c>
      <c r="D76" s="8" t="s">
        <v>42</v>
      </c>
      <c r="E76" s="9">
        <v>12.42</v>
      </c>
      <c r="F76" s="9">
        <v>24.84</v>
      </c>
      <c r="G76" s="20">
        <f t="shared" si="5"/>
        <v>0.1610305958132045</v>
      </c>
      <c r="H76" s="21">
        <f t="shared" si="6"/>
        <v>12.42</v>
      </c>
      <c r="I76" s="21">
        <f t="shared" si="7"/>
        <v>2.484</v>
      </c>
      <c r="J76" s="21">
        <f t="shared" si="8"/>
        <v>27.323999999999998</v>
      </c>
      <c r="K76" s="21">
        <f t="shared" si="9"/>
        <v>28</v>
      </c>
      <c r="L76" s="8" t="s">
        <v>332</v>
      </c>
      <c r="M76" s="10" t="s">
        <v>333</v>
      </c>
      <c r="N76" s="11" t="s">
        <v>334</v>
      </c>
      <c r="O76" s="15"/>
      <c r="P76" s="14"/>
      <c r="Q76" s="13"/>
      <c r="R76" s="13"/>
    </row>
    <row r="77" spans="1:18" x14ac:dyDescent="0.2">
      <c r="A77">
        <v>105104</v>
      </c>
      <c r="B77" s="8" t="s">
        <v>321</v>
      </c>
      <c r="C77" s="8" t="s">
        <v>335</v>
      </c>
      <c r="D77" s="8" t="s">
        <v>42</v>
      </c>
      <c r="E77" s="9">
        <v>12.42</v>
      </c>
      <c r="F77" s="9">
        <v>24.84</v>
      </c>
      <c r="G77" s="20">
        <f t="shared" si="5"/>
        <v>0.1610305958132045</v>
      </c>
      <c r="H77" s="21">
        <f t="shared" si="6"/>
        <v>12.42</v>
      </c>
      <c r="I77" s="21">
        <f t="shared" si="7"/>
        <v>2.484</v>
      </c>
      <c r="J77" s="21">
        <f t="shared" si="8"/>
        <v>27.323999999999998</v>
      </c>
      <c r="K77" s="21">
        <f t="shared" si="9"/>
        <v>28</v>
      </c>
      <c r="L77" s="8" t="s">
        <v>336</v>
      </c>
      <c r="M77" s="10" t="s">
        <v>337</v>
      </c>
      <c r="N77" s="11" t="s">
        <v>338</v>
      </c>
      <c r="O77" s="15"/>
      <c r="P77" s="14"/>
      <c r="Q77" s="13"/>
      <c r="R77" s="13"/>
    </row>
    <row r="78" spans="1:18" x14ac:dyDescent="0.2">
      <c r="A78">
        <v>105105</v>
      </c>
      <c r="B78" s="8" t="s">
        <v>321</v>
      </c>
      <c r="C78" s="8" t="s">
        <v>339</v>
      </c>
      <c r="D78" s="8" t="s">
        <v>216</v>
      </c>
      <c r="E78" s="9">
        <v>6</v>
      </c>
      <c r="F78" s="9">
        <v>12</v>
      </c>
      <c r="G78" s="20">
        <f t="shared" si="5"/>
        <v>0.33333333333333331</v>
      </c>
      <c r="H78" s="21">
        <f t="shared" si="6"/>
        <v>6</v>
      </c>
      <c r="I78" s="21">
        <f t="shared" si="7"/>
        <v>1.2000000000000002</v>
      </c>
      <c r="J78" s="21">
        <f t="shared" si="8"/>
        <v>13.2</v>
      </c>
      <c r="K78" s="21">
        <f t="shared" si="9"/>
        <v>14</v>
      </c>
      <c r="L78" s="8" t="s">
        <v>340</v>
      </c>
      <c r="M78" s="10" t="s">
        <v>341</v>
      </c>
      <c r="N78" s="11" t="s">
        <v>342</v>
      </c>
      <c r="O78" s="15"/>
      <c r="P78" s="14"/>
      <c r="Q78" s="13"/>
      <c r="R78" s="13"/>
    </row>
    <row r="79" spans="1:18" x14ac:dyDescent="0.2">
      <c r="A79">
        <v>105106</v>
      </c>
      <c r="B79" s="8" t="s">
        <v>321</v>
      </c>
      <c r="C79" s="8" t="s">
        <v>343</v>
      </c>
      <c r="D79" s="8" t="s">
        <v>344</v>
      </c>
      <c r="E79" s="9">
        <v>14.72</v>
      </c>
      <c r="F79" s="9">
        <v>19.989999999999998</v>
      </c>
      <c r="G79" s="20">
        <f t="shared" si="5"/>
        <v>9.225654241493382E-2</v>
      </c>
      <c r="H79" s="21">
        <f t="shared" si="6"/>
        <v>5.2699999999999978</v>
      </c>
      <c r="I79" s="21">
        <f t="shared" si="7"/>
        <v>1.0539999999999996</v>
      </c>
      <c r="J79" s="21">
        <f t="shared" si="8"/>
        <v>21.043999999999997</v>
      </c>
      <c r="K79" s="21">
        <f t="shared" si="9"/>
        <v>22</v>
      </c>
      <c r="L79" s="8" t="s">
        <v>345</v>
      </c>
      <c r="M79" s="17"/>
      <c r="N79" s="15"/>
      <c r="O79" s="15"/>
      <c r="P79" s="14"/>
      <c r="Q79" s="13"/>
      <c r="R79" s="13"/>
    </row>
    <row r="80" spans="1:18" x14ac:dyDescent="0.2">
      <c r="A80">
        <v>105107</v>
      </c>
      <c r="B80" s="8" t="s">
        <v>321</v>
      </c>
      <c r="C80" s="8" t="s">
        <v>346</v>
      </c>
      <c r="D80" s="8" t="s">
        <v>347</v>
      </c>
      <c r="E80" s="9">
        <v>40.799999999999997</v>
      </c>
      <c r="F80" s="9">
        <v>81.599999999999994</v>
      </c>
      <c r="G80" s="20">
        <f t="shared" si="5"/>
        <v>4.9019607843137261E-2</v>
      </c>
      <c r="H80" s="21">
        <f t="shared" si="6"/>
        <v>40.799999999999997</v>
      </c>
      <c r="I80" s="21">
        <f t="shared" si="7"/>
        <v>8.16</v>
      </c>
      <c r="J80" s="21">
        <f t="shared" si="8"/>
        <v>89.759999999999991</v>
      </c>
      <c r="K80" s="21">
        <f t="shared" si="9"/>
        <v>90</v>
      </c>
      <c r="L80" s="8" t="s">
        <v>348</v>
      </c>
      <c r="M80" s="17"/>
      <c r="N80" s="15"/>
      <c r="O80" s="15"/>
      <c r="P80" s="14"/>
      <c r="Q80" s="13"/>
      <c r="R80" s="13"/>
    </row>
    <row r="81" spans="1:18" x14ac:dyDescent="0.2">
      <c r="A81">
        <v>105108</v>
      </c>
      <c r="B81" s="8" t="s">
        <v>321</v>
      </c>
      <c r="C81" s="8" t="s">
        <v>346</v>
      </c>
      <c r="D81" s="8" t="s">
        <v>349</v>
      </c>
      <c r="E81" s="9">
        <v>4.8</v>
      </c>
      <c r="F81" s="9">
        <v>9.6</v>
      </c>
      <c r="G81" s="20">
        <f t="shared" si="5"/>
        <v>0.41666666666666669</v>
      </c>
      <c r="H81" s="21">
        <f t="shared" si="6"/>
        <v>4.8</v>
      </c>
      <c r="I81" s="21">
        <f t="shared" si="7"/>
        <v>0.96</v>
      </c>
      <c r="J81" s="21">
        <f t="shared" si="8"/>
        <v>10.559999999999999</v>
      </c>
      <c r="K81" s="21">
        <f t="shared" si="9"/>
        <v>11</v>
      </c>
      <c r="L81" s="8" t="s">
        <v>350</v>
      </c>
      <c r="M81" s="10" t="s">
        <v>351</v>
      </c>
      <c r="N81" s="11" t="s">
        <v>352</v>
      </c>
      <c r="O81" s="15"/>
      <c r="P81" s="14"/>
      <c r="Q81" s="13"/>
      <c r="R81" s="13"/>
    </row>
    <row r="82" spans="1:18" x14ac:dyDescent="0.2">
      <c r="A82">
        <v>105109</v>
      </c>
      <c r="B82" s="8" t="s">
        <v>321</v>
      </c>
      <c r="C82" s="8" t="s">
        <v>346</v>
      </c>
      <c r="D82" s="8" t="s">
        <v>216</v>
      </c>
      <c r="E82" s="9">
        <v>14.4</v>
      </c>
      <c r="F82" s="9">
        <v>28.8</v>
      </c>
      <c r="G82" s="20">
        <f t="shared" si="5"/>
        <v>0.1388888888888889</v>
      </c>
      <c r="H82" s="21">
        <f t="shared" si="6"/>
        <v>14.4</v>
      </c>
      <c r="I82" s="21">
        <f t="shared" si="7"/>
        <v>2.8800000000000003</v>
      </c>
      <c r="J82" s="21">
        <f t="shared" si="8"/>
        <v>31.68</v>
      </c>
      <c r="K82" s="21">
        <f t="shared" si="9"/>
        <v>32</v>
      </c>
      <c r="L82" s="8" t="s">
        <v>353</v>
      </c>
      <c r="M82" s="10" t="s">
        <v>354</v>
      </c>
      <c r="N82" s="11" t="s">
        <v>355</v>
      </c>
      <c r="O82" s="15"/>
      <c r="P82" s="14"/>
      <c r="Q82" s="13"/>
      <c r="R82" s="13"/>
    </row>
    <row r="83" spans="1:18" x14ac:dyDescent="0.2">
      <c r="A83">
        <v>105110</v>
      </c>
      <c r="B83" s="8" t="s">
        <v>321</v>
      </c>
      <c r="C83" s="8" t="s">
        <v>346</v>
      </c>
      <c r="D83" s="8" t="s">
        <v>70</v>
      </c>
      <c r="E83" s="9">
        <v>22.8</v>
      </c>
      <c r="F83" s="9">
        <v>45.6</v>
      </c>
      <c r="G83" s="20">
        <f t="shared" si="5"/>
        <v>8.771929824561403E-2</v>
      </c>
      <c r="H83" s="21">
        <f t="shared" si="6"/>
        <v>22.8</v>
      </c>
      <c r="I83" s="21">
        <f t="shared" si="7"/>
        <v>4.5600000000000005</v>
      </c>
      <c r="J83" s="21">
        <f t="shared" si="8"/>
        <v>50.160000000000004</v>
      </c>
      <c r="K83" s="21">
        <f t="shared" si="9"/>
        <v>51</v>
      </c>
      <c r="L83" s="8" t="s">
        <v>356</v>
      </c>
      <c r="M83" s="10" t="s">
        <v>357</v>
      </c>
      <c r="N83" s="11" t="s">
        <v>358</v>
      </c>
      <c r="O83" s="15"/>
      <c r="P83" s="14"/>
      <c r="Q83" s="13"/>
      <c r="R83" s="13"/>
    </row>
    <row r="84" spans="1:18" x14ac:dyDescent="0.2">
      <c r="A84">
        <v>105111</v>
      </c>
      <c r="B84" s="8" t="s">
        <v>321</v>
      </c>
      <c r="C84" s="8" t="s">
        <v>359</v>
      </c>
      <c r="D84" s="8" t="s">
        <v>360</v>
      </c>
      <c r="E84" s="9">
        <v>21.6</v>
      </c>
      <c r="F84" s="9">
        <v>43.2</v>
      </c>
      <c r="G84" s="20">
        <f t="shared" si="5"/>
        <v>9.2592592592592587E-2</v>
      </c>
      <c r="H84" s="21">
        <f t="shared" si="6"/>
        <v>21.6</v>
      </c>
      <c r="I84" s="21">
        <f t="shared" si="7"/>
        <v>4.32</v>
      </c>
      <c r="J84" s="21">
        <f t="shared" si="8"/>
        <v>47.52</v>
      </c>
      <c r="K84" s="21">
        <f t="shared" si="9"/>
        <v>48</v>
      </c>
      <c r="L84" s="8" t="s">
        <v>361</v>
      </c>
      <c r="M84" s="17"/>
      <c r="N84" s="15"/>
      <c r="O84" s="15"/>
      <c r="P84" s="14"/>
      <c r="Q84" s="13"/>
      <c r="R84" s="13"/>
    </row>
    <row r="85" spans="1:18" x14ac:dyDescent="0.2">
      <c r="A85">
        <v>105112</v>
      </c>
      <c r="B85" s="8" t="s">
        <v>321</v>
      </c>
      <c r="C85" s="8" t="s">
        <v>362</v>
      </c>
      <c r="D85" s="8" t="s">
        <v>363</v>
      </c>
      <c r="E85" s="9">
        <v>16.8</v>
      </c>
      <c r="F85" s="9">
        <v>33.6</v>
      </c>
      <c r="G85" s="20">
        <f t="shared" si="5"/>
        <v>0.11904761904761904</v>
      </c>
      <c r="H85" s="21">
        <f t="shared" si="6"/>
        <v>16.8</v>
      </c>
      <c r="I85" s="21">
        <f t="shared" si="7"/>
        <v>3.3600000000000003</v>
      </c>
      <c r="J85" s="21">
        <f t="shared" si="8"/>
        <v>36.96</v>
      </c>
      <c r="K85" s="21">
        <f t="shared" si="9"/>
        <v>37</v>
      </c>
      <c r="L85" s="8" t="s">
        <v>364</v>
      </c>
      <c r="M85" s="10" t="s">
        <v>365</v>
      </c>
      <c r="N85" s="11" t="s">
        <v>366</v>
      </c>
      <c r="O85" s="15"/>
      <c r="P85" s="14"/>
      <c r="Q85" s="13"/>
      <c r="R85" s="13"/>
    </row>
    <row r="86" spans="1:18" x14ac:dyDescent="0.2">
      <c r="A86">
        <v>105113</v>
      </c>
      <c r="B86" s="8" t="s">
        <v>321</v>
      </c>
      <c r="C86" s="8" t="s">
        <v>367</v>
      </c>
      <c r="D86" s="8" t="s">
        <v>327</v>
      </c>
      <c r="E86" s="9">
        <v>12.42</v>
      </c>
      <c r="F86" s="9">
        <v>24.84</v>
      </c>
      <c r="G86" s="20">
        <f t="shared" si="5"/>
        <v>0.1610305958132045</v>
      </c>
      <c r="H86" s="21">
        <f t="shared" si="6"/>
        <v>12.42</v>
      </c>
      <c r="I86" s="21">
        <f t="shared" si="7"/>
        <v>2.484</v>
      </c>
      <c r="J86" s="21">
        <f t="shared" si="8"/>
        <v>27.323999999999998</v>
      </c>
      <c r="K86" s="21">
        <f t="shared" si="9"/>
        <v>28</v>
      </c>
      <c r="L86" s="8" t="s">
        <v>368</v>
      </c>
      <c r="M86" s="10" t="s">
        <v>369</v>
      </c>
      <c r="N86" s="11" t="s">
        <v>370</v>
      </c>
      <c r="O86" s="15"/>
      <c r="P86" s="14"/>
      <c r="Q86" s="13"/>
      <c r="R86" s="13"/>
    </row>
    <row r="87" spans="1:18" x14ac:dyDescent="0.2">
      <c r="A87">
        <v>105114</v>
      </c>
      <c r="B87" s="8" t="s">
        <v>321</v>
      </c>
      <c r="C87" s="8" t="s">
        <v>371</v>
      </c>
      <c r="D87" s="8" t="s">
        <v>42</v>
      </c>
      <c r="E87" s="9">
        <v>17.489999999999998</v>
      </c>
      <c r="F87" s="9">
        <v>34.979999999999997</v>
      </c>
      <c r="G87" s="20">
        <f t="shared" si="5"/>
        <v>0.11435105774728417</v>
      </c>
      <c r="H87" s="21">
        <f t="shared" si="6"/>
        <v>17.489999999999998</v>
      </c>
      <c r="I87" s="21">
        <f t="shared" si="7"/>
        <v>3.4979999999999998</v>
      </c>
      <c r="J87" s="21">
        <f t="shared" si="8"/>
        <v>38.477999999999994</v>
      </c>
      <c r="K87" s="21">
        <f t="shared" si="9"/>
        <v>39</v>
      </c>
      <c r="L87" s="8" t="s">
        <v>372</v>
      </c>
      <c r="M87" s="17"/>
      <c r="N87" s="15"/>
      <c r="O87" s="15"/>
      <c r="P87" s="14"/>
      <c r="Q87" s="13"/>
      <c r="R87" s="13"/>
    </row>
    <row r="88" spans="1:18" x14ac:dyDescent="0.2">
      <c r="A88">
        <v>105115</v>
      </c>
      <c r="B88" s="8" t="s">
        <v>321</v>
      </c>
      <c r="C88" s="8" t="s">
        <v>373</v>
      </c>
      <c r="D88" s="8" t="s">
        <v>374</v>
      </c>
      <c r="E88" s="9">
        <v>4.8</v>
      </c>
      <c r="F88" s="9">
        <v>9.6</v>
      </c>
      <c r="G88" s="20">
        <f t="shared" si="5"/>
        <v>0.41666666666666669</v>
      </c>
      <c r="H88" s="21">
        <f t="shared" si="6"/>
        <v>4.8</v>
      </c>
      <c r="I88" s="21">
        <f t="shared" si="7"/>
        <v>0.96</v>
      </c>
      <c r="J88" s="21">
        <f t="shared" si="8"/>
        <v>10.559999999999999</v>
      </c>
      <c r="K88" s="21">
        <f t="shared" si="9"/>
        <v>11</v>
      </c>
      <c r="L88" s="8" t="s">
        <v>375</v>
      </c>
      <c r="M88" s="10" t="s">
        <v>376</v>
      </c>
      <c r="N88" s="11" t="s">
        <v>377</v>
      </c>
      <c r="O88" s="11" t="s">
        <v>378</v>
      </c>
      <c r="P88" s="14"/>
      <c r="Q88" s="13"/>
      <c r="R88" s="13"/>
    </row>
    <row r="89" spans="1:18" x14ac:dyDescent="0.2">
      <c r="A89">
        <v>105116</v>
      </c>
      <c r="B89" s="8" t="s">
        <v>321</v>
      </c>
      <c r="C89" s="8" t="s">
        <v>379</v>
      </c>
      <c r="D89" s="8" t="s">
        <v>374</v>
      </c>
      <c r="E89" s="9">
        <v>4.8</v>
      </c>
      <c r="F89" s="9">
        <v>9.6</v>
      </c>
      <c r="G89" s="20">
        <f t="shared" si="5"/>
        <v>0.41666666666666669</v>
      </c>
      <c r="H89" s="21">
        <f t="shared" si="6"/>
        <v>4.8</v>
      </c>
      <c r="I89" s="21">
        <f t="shared" si="7"/>
        <v>0.96</v>
      </c>
      <c r="J89" s="21">
        <f t="shared" si="8"/>
        <v>10.559999999999999</v>
      </c>
      <c r="K89" s="21">
        <f t="shared" si="9"/>
        <v>11</v>
      </c>
      <c r="L89" s="8" t="s">
        <v>380</v>
      </c>
      <c r="M89" s="10" t="s">
        <v>381</v>
      </c>
      <c r="N89" s="11" t="s">
        <v>382</v>
      </c>
      <c r="O89" s="11" t="s">
        <v>383</v>
      </c>
      <c r="P89" s="14"/>
      <c r="Q89" s="13"/>
      <c r="R89" s="13"/>
    </row>
    <row r="90" spans="1:18" x14ac:dyDescent="0.2">
      <c r="A90">
        <v>105117</v>
      </c>
      <c r="B90" s="8" t="s">
        <v>321</v>
      </c>
      <c r="C90" s="8" t="s">
        <v>384</v>
      </c>
      <c r="D90" s="8" t="s">
        <v>374</v>
      </c>
      <c r="E90" s="9">
        <v>4.8</v>
      </c>
      <c r="F90" s="9">
        <v>9.6</v>
      </c>
      <c r="G90" s="20">
        <f t="shared" si="5"/>
        <v>0.41666666666666669</v>
      </c>
      <c r="H90" s="21">
        <f t="shared" si="6"/>
        <v>4.8</v>
      </c>
      <c r="I90" s="21">
        <f t="shared" si="7"/>
        <v>0.96</v>
      </c>
      <c r="J90" s="21">
        <f t="shared" si="8"/>
        <v>10.559999999999999</v>
      </c>
      <c r="K90" s="21">
        <f t="shared" si="9"/>
        <v>11</v>
      </c>
      <c r="L90" s="8" t="s">
        <v>385</v>
      </c>
      <c r="M90" s="10" t="s">
        <v>386</v>
      </c>
      <c r="N90" s="11" t="s">
        <v>387</v>
      </c>
      <c r="O90" s="11" t="s">
        <v>388</v>
      </c>
      <c r="P90" s="14"/>
      <c r="Q90" s="13"/>
      <c r="R90" s="13"/>
    </row>
    <row r="91" spans="1:18" x14ac:dyDescent="0.2">
      <c r="A91">
        <v>105118</v>
      </c>
      <c r="B91" s="8" t="s">
        <v>321</v>
      </c>
      <c r="C91" s="8" t="s">
        <v>389</v>
      </c>
      <c r="D91" s="8" t="s">
        <v>390</v>
      </c>
      <c r="E91" s="9">
        <v>12.42</v>
      </c>
      <c r="F91" s="9">
        <v>24.84</v>
      </c>
      <c r="G91" s="20">
        <f t="shared" si="5"/>
        <v>0.1610305958132045</v>
      </c>
      <c r="H91" s="21">
        <f t="shared" si="6"/>
        <v>12.42</v>
      </c>
      <c r="I91" s="21">
        <f t="shared" si="7"/>
        <v>2.484</v>
      </c>
      <c r="J91" s="21">
        <f t="shared" si="8"/>
        <v>27.323999999999998</v>
      </c>
      <c r="K91" s="21">
        <f t="shared" si="9"/>
        <v>28</v>
      </c>
      <c r="L91" s="8" t="s">
        <v>391</v>
      </c>
      <c r="M91" s="10" t="s">
        <v>392</v>
      </c>
      <c r="N91" s="11" t="s">
        <v>393</v>
      </c>
      <c r="O91" s="15"/>
      <c r="P91" s="14"/>
      <c r="Q91" s="13"/>
      <c r="R91" s="13"/>
    </row>
    <row r="92" spans="1:18" x14ac:dyDescent="0.2">
      <c r="A92">
        <v>105119</v>
      </c>
      <c r="B92" s="8" t="s">
        <v>321</v>
      </c>
      <c r="C92" s="8" t="s">
        <v>394</v>
      </c>
      <c r="D92" s="8" t="s">
        <v>70</v>
      </c>
      <c r="E92" s="9">
        <v>15.53</v>
      </c>
      <c r="F92" s="9">
        <v>20.7</v>
      </c>
      <c r="G92" s="20">
        <f t="shared" si="5"/>
        <v>8.5827691993851915E-2</v>
      </c>
      <c r="H92" s="21">
        <f t="shared" si="6"/>
        <v>5.17</v>
      </c>
      <c r="I92" s="21">
        <f t="shared" si="7"/>
        <v>1.034</v>
      </c>
      <c r="J92" s="21">
        <f t="shared" si="8"/>
        <v>21.733999999999998</v>
      </c>
      <c r="K92" s="21">
        <f t="shared" si="9"/>
        <v>22</v>
      </c>
      <c r="L92" s="8" t="s">
        <v>395</v>
      </c>
      <c r="M92" s="10" t="s">
        <v>396</v>
      </c>
      <c r="N92" s="11" t="s">
        <v>397</v>
      </c>
      <c r="O92" s="15"/>
      <c r="P92" s="14"/>
      <c r="Q92" s="13"/>
      <c r="R92" s="13"/>
    </row>
    <row r="93" spans="1:18" x14ac:dyDescent="0.2">
      <c r="A93">
        <v>105120</v>
      </c>
      <c r="B93" s="8" t="s">
        <v>321</v>
      </c>
      <c r="C93" s="8" t="s">
        <v>398</v>
      </c>
      <c r="D93" s="8" t="s">
        <v>349</v>
      </c>
      <c r="E93" s="9">
        <v>9</v>
      </c>
      <c r="F93" s="9">
        <v>18</v>
      </c>
      <c r="G93" s="20">
        <f t="shared" si="5"/>
        <v>0.22222222222222221</v>
      </c>
      <c r="H93" s="21">
        <f t="shared" si="6"/>
        <v>9</v>
      </c>
      <c r="I93" s="21">
        <f t="shared" si="7"/>
        <v>1.8</v>
      </c>
      <c r="J93" s="21">
        <f t="shared" si="8"/>
        <v>19.8</v>
      </c>
      <c r="K93" s="21">
        <f t="shared" si="9"/>
        <v>20</v>
      </c>
      <c r="L93" s="8" t="s">
        <v>399</v>
      </c>
      <c r="M93" s="17"/>
      <c r="N93" s="15"/>
      <c r="O93" s="15"/>
      <c r="P93" s="14"/>
      <c r="Q93" s="13"/>
      <c r="R93" s="13"/>
    </row>
    <row r="94" spans="1:18" x14ac:dyDescent="0.2">
      <c r="A94">
        <v>105121</v>
      </c>
      <c r="B94" s="8" t="s">
        <v>321</v>
      </c>
      <c r="C94" s="8" t="s">
        <v>400</v>
      </c>
      <c r="D94" s="8" t="s">
        <v>347</v>
      </c>
      <c r="E94" s="9">
        <v>15.6</v>
      </c>
      <c r="F94" s="9">
        <v>31.2</v>
      </c>
      <c r="G94" s="20">
        <f t="shared" si="5"/>
        <v>0.12820512820512822</v>
      </c>
      <c r="H94" s="21">
        <f t="shared" si="6"/>
        <v>15.6</v>
      </c>
      <c r="I94" s="21">
        <f t="shared" si="7"/>
        <v>3.12</v>
      </c>
      <c r="J94" s="21">
        <f t="shared" si="8"/>
        <v>34.32</v>
      </c>
      <c r="K94" s="21">
        <f t="shared" si="9"/>
        <v>35</v>
      </c>
      <c r="L94" s="8" t="s">
        <v>401</v>
      </c>
      <c r="M94" s="10" t="s">
        <v>402</v>
      </c>
      <c r="N94" s="11" t="s">
        <v>403</v>
      </c>
      <c r="O94" s="15"/>
      <c r="P94" s="14"/>
      <c r="Q94" s="13"/>
      <c r="R94" s="13"/>
    </row>
    <row r="95" spans="1:18" x14ac:dyDescent="0.2">
      <c r="A95">
        <v>105122</v>
      </c>
      <c r="B95" s="8" t="s">
        <v>321</v>
      </c>
      <c r="C95" s="8" t="s">
        <v>400</v>
      </c>
      <c r="D95" s="8" t="s">
        <v>216</v>
      </c>
      <c r="E95" s="9">
        <v>6</v>
      </c>
      <c r="F95" s="9">
        <v>12</v>
      </c>
      <c r="G95" s="20">
        <f t="shared" si="5"/>
        <v>0.33333333333333331</v>
      </c>
      <c r="H95" s="21">
        <f t="shared" si="6"/>
        <v>6</v>
      </c>
      <c r="I95" s="21">
        <f t="shared" si="7"/>
        <v>1.2000000000000002</v>
      </c>
      <c r="J95" s="21">
        <f t="shared" si="8"/>
        <v>13.2</v>
      </c>
      <c r="K95" s="21">
        <f t="shared" si="9"/>
        <v>14</v>
      </c>
      <c r="L95" s="8" t="s">
        <v>404</v>
      </c>
      <c r="M95" s="17"/>
      <c r="N95" s="15"/>
      <c r="O95" s="15"/>
      <c r="P95" s="14"/>
      <c r="Q95" s="13"/>
      <c r="R95" s="13"/>
    </row>
    <row r="96" spans="1:18" x14ac:dyDescent="0.2">
      <c r="A96">
        <v>105123</v>
      </c>
      <c r="B96" s="8" t="s">
        <v>321</v>
      </c>
      <c r="C96" s="8" t="s">
        <v>405</v>
      </c>
      <c r="D96" s="8" t="s">
        <v>70</v>
      </c>
      <c r="E96" s="9">
        <v>22.8</v>
      </c>
      <c r="F96" s="9">
        <v>45.6</v>
      </c>
      <c r="G96" s="20">
        <f t="shared" si="5"/>
        <v>8.771929824561403E-2</v>
      </c>
      <c r="H96" s="21">
        <f t="shared" si="6"/>
        <v>22.8</v>
      </c>
      <c r="I96" s="21">
        <f t="shared" si="7"/>
        <v>4.5600000000000005</v>
      </c>
      <c r="J96" s="21">
        <f t="shared" si="8"/>
        <v>50.160000000000004</v>
      </c>
      <c r="K96" s="21">
        <f t="shared" si="9"/>
        <v>51</v>
      </c>
      <c r="L96" s="8" t="s">
        <v>406</v>
      </c>
      <c r="M96" s="17"/>
      <c r="N96" s="15"/>
      <c r="O96" s="15"/>
      <c r="P96" s="14"/>
      <c r="Q96" s="13"/>
      <c r="R96" s="13"/>
    </row>
    <row r="97" spans="1:18" x14ac:dyDescent="0.2">
      <c r="A97">
        <v>105124</v>
      </c>
      <c r="B97" s="8" t="s">
        <v>321</v>
      </c>
      <c r="C97" s="8" t="s">
        <v>407</v>
      </c>
      <c r="D97" s="8" t="s">
        <v>347</v>
      </c>
      <c r="E97" s="9">
        <v>12.6</v>
      </c>
      <c r="F97" s="9">
        <v>25.2</v>
      </c>
      <c r="G97" s="20">
        <f t="shared" si="5"/>
        <v>0.15873015873015872</v>
      </c>
      <c r="H97" s="21">
        <f t="shared" si="6"/>
        <v>12.6</v>
      </c>
      <c r="I97" s="21">
        <f t="shared" si="7"/>
        <v>2.52</v>
      </c>
      <c r="J97" s="21">
        <f t="shared" si="8"/>
        <v>27.72</v>
      </c>
      <c r="K97" s="21">
        <f t="shared" si="9"/>
        <v>28</v>
      </c>
      <c r="L97" s="8" t="s">
        <v>408</v>
      </c>
      <c r="M97" s="17"/>
      <c r="N97" s="15"/>
      <c r="O97" s="15"/>
      <c r="P97" s="14"/>
      <c r="Q97" s="13"/>
      <c r="R97" s="13"/>
    </row>
    <row r="98" spans="1:18" x14ac:dyDescent="0.2">
      <c r="A98">
        <v>105125</v>
      </c>
      <c r="B98" s="8" t="s">
        <v>321</v>
      </c>
      <c r="C98" s="8" t="s">
        <v>409</v>
      </c>
      <c r="D98" s="8" t="s">
        <v>347</v>
      </c>
      <c r="E98" s="9">
        <v>12.6</v>
      </c>
      <c r="F98" s="9">
        <v>25.2</v>
      </c>
      <c r="G98" s="20">
        <f t="shared" si="5"/>
        <v>0.15873015873015872</v>
      </c>
      <c r="H98" s="21">
        <f t="shared" si="6"/>
        <v>12.6</v>
      </c>
      <c r="I98" s="21">
        <f t="shared" si="7"/>
        <v>2.52</v>
      </c>
      <c r="J98" s="21">
        <f t="shared" si="8"/>
        <v>27.72</v>
      </c>
      <c r="K98" s="21">
        <f t="shared" si="9"/>
        <v>28</v>
      </c>
      <c r="L98" s="8" t="s">
        <v>410</v>
      </c>
      <c r="M98" s="17"/>
      <c r="N98" s="15"/>
      <c r="O98" s="15"/>
      <c r="P98" s="14"/>
      <c r="Q98" s="13"/>
      <c r="R98" s="13"/>
    </row>
    <row r="99" spans="1:18" x14ac:dyDescent="0.2">
      <c r="A99">
        <v>105126</v>
      </c>
      <c r="B99" s="8" t="s">
        <v>321</v>
      </c>
      <c r="C99" s="8" t="s">
        <v>411</v>
      </c>
      <c r="D99" s="8" t="s">
        <v>349</v>
      </c>
      <c r="E99" s="9">
        <v>13.8</v>
      </c>
      <c r="F99" s="9">
        <v>27.6</v>
      </c>
      <c r="G99" s="20">
        <f t="shared" si="5"/>
        <v>0.14492753623188406</v>
      </c>
      <c r="H99" s="21">
        <f t="shared" si="6"/>
        <v>13.8</v>
      </c>
      <c r="I99" s="21">
        <f t="shared" si="7"/>
        <v>2.7600000000000002</v>
      </c>
      <c r="J99" s="21">
        <f t="shared" si="8"/>
        <v>30.360000000000003</v>
      </c>
      <c r="K99" s="21">
        <f t="shared" si="9"/>
        <v>31</v>
      </c>
      <c r="L99" s="8" t="s">
        <v>412</v>
      </c>
      <c r="M99" s="17"/>
      <c r="N99" s="15"/>
      <c r="O99" s="15"/>
      <c r="P99" s="14"/>
      <c r="Q99" s="13"/>
      <c r="R99" s="13"/>
    </row>
    <row r="100" spans="1:18" x14ac:dyDescent="0.2">
      <c r="A100">
        <v>105127</v>
      </c>
      <c r="B100" s="8" t="s">
        <v>321</v>
      </c>
      <c r="C100" s="8" t="s">
        <v>413</v>
      </c>
      <c r="D100" s="8" t="s">
        <v>349</v>
      </c>
      <c r="E100" s="9">
        <v>3.6</v>
      </c>
      <c r="F100" s="9">
        <v>7.2</v>
      </c>
      <c r="G100" s="20">
        <f t="shared" si="5"/>
        <v>0.55555555555555558</v>
      </c>
      <c r="H100" s="21">
        <f t="shared" si="6"/>
        <v>3.6</v>
      </c>
      <c r="I100" s="21">
        <f t="shared" si="7"/>
        <v>0.72000000000000008</v>
      </c>
      <c r="J100" s="21">
        <f t="shared" si="8"/>
        <v>7.92</v>
      </c>
      <c r="K100" s="21">
        <f t="shared" si="9"/>
        <v>8</v>
      </c>
      <c r="L100" s="8" t="s">
        <v>414</v>
      </c>
      <c r="M100" s="10" t="s">
        <v>415</v>
      </c>
      <c r="N100" s="11" t="s">
        <v>416</v>
      </c>
      <c r="O100" s="15"/>
      <c r="P100" s="14"/>
      <c r="Q100" s="13"/>
      <c r="R100" s="13"/>
    </row>
    <row r="101" spans="1:18" x14ac:dyDescent="0.2">
      <c r="A101">
        <v>105128</v>
      </c>
      <c r="B101" s="8" t="s">
        <v>321</v>
      </c>
      <c r="C101" s="8" t="s">
        <v>413</v>
      </c>
      <c r="D101" s="8" t="s">
        <v>64</v>
      </c>
      <c r="E101" s="9">
        <v>12</v>
      </c>
      <c r="F101" s="9">
        <v>24</v>
      </c>
      <c r="G101" s="20">
        <f t="shared" si="5"/>
        <v>0.16666666666666666</v>
      </c>
      <c r="H101" s="21">
        <f t="shared" si="6"/>
        <v>12</v>
      </c>
      <c r="I101" s="21">
        <f t="shared" si="7"/>
        <v>2.4000000000000004</v>
      </c>
      <c r="J101" s="21">
        <f t="shared" si="8"/>
        <v>26.4</v>
      </c>
      <c r="K101" s="21">
        <f t="shared" si="9"/>
        <v>27</v>
      </c>
      <c r="L101" s="8" t="s">
        <v>417</v>
      </c>
      <c r="M101" s="10" t="s">
        <v>418</v>
      </c>
      <c r="N101" s="11" t="s">
        <v>419</v>
      </c>
      <c r="O101" s="11" t="s">
        <v>420</v>
      </c>
      <c r="P101" s="14"/>
      <c r="Q101" s="13"/>
      <c r="R101" s="13"/>
    </row>
    <row r="102" spans="1:18" x14ac:dyDescent="0.2">
      <c r="A102">
        <v>105129</v>
      </c>
      <c r="B102" s="8" t="s">
        <v>321</v>
      </c>
      <c r="C102" s="8" t="s">
        <v>421</v>
      </c>
      <c r="D102" s="8" t="s">
        <v>349</v>
      </c>
      <c r="E102" s="9">
        <v>21.6</v>
      </c>
      <c r="F102" s="9">
        <v>43.2</v>
      </c>
      <c r="G102" s="20">
        <f t="shared" si="5"/>
        <v>9.2592592592592587E-2</v>
      </c>
      <c r="H102" s="21">
        <f t="shared" si="6"/>
        <v>21.6</v>
      </c>
      <c r="I102" s="21">
        <f t="shared" si="7"/>
        <v>4.32</v>
      </c>
      <c r="J102" s="21">
        <f t="shared" si="8"/>
        <v>47.52</v>
      </c>
      <c r="K102" s="21">
        <f t="shared" si="9"/>
        <v>48</v>
      </c>
      <c r="L102" s="8" t="s">
        <v>422</v>
      </c>
      <c r="M102" s="10" t="s">
        <v>423</v>
      </c>
      <c r="N102" s="11" t="s">
        <v>424</v>
      </c>
      <c r="O102" s="15"/>
      <c r="P102" s="14"/>
      <c r="Q102" s="13"/>
      <c r="R102" s="13"/>
    </row>
    <row r="103" spans="1:18" x14ac:dyDescent="0.2">
      <c r="A103">
        <v>105130</v>
      </c>
      <c r="B103" s="8" t="s">
        <v>321</v>
      </c>
      <c r="C103" s="8" t="s">
        <v>425</v>
      </c>
      <c r="D103" s="8" t="s">
        <v>216</v>
      </c>
      <c r="E103" s="9">
        <v>18</v>
      </c>
      <c r="F103" s="9">
        <v>36</v>
      </c>
      <c r="G103" s="20">
        <f t="shared" si="5"/>
        <v>0.1111111111111111</v>
      </c>
      <c r="H103" s="21">
        <f t="shared" si="6"/>
        <v>18</v>
      </c>
      <c r="I103" s="21">
        <f t="shared" si="7"/>
        <v>3.6</v>
      </c>
      <c r="J103" s="21">
        <f t="shared" si="8"/>
        <v>39.6</v>
      </c>
      <c r="K103" s="21">
        <f t="shared" si="9"/>
        <v>40</v>
      </c>
      <c r="L103" s="8" t="s">
        <v>426</v>
      </c>
      <c r="M103" s="10" t="s">
        <v>427</v>
      </c>
      <c r="N103" s="11" t="s">
        <v>428</v>
      </c>
      <c r="O103" s="15"/>
      <c r="P103" s="14"/>
      <c r="Q103" s="13"/>
      <c r="R103" s="13"/>
    </row>
    <row r="104" spans="1:18" x14ac:dyDescent="0.2">
      <c r="A104">
        <v>105131</v>
      </c>
      <c r="B104" s="8" t="s">
        <v>321</v>
      </c>
      <c r="C104" s="8" t="s">
        <v>429</v>
      </c>
      <c r="D104" s="8" t="s">
        <v>349</v>
      </c>
      <c r="E104" s="9">
        <v>14.4</v>
      </c>
      <c r="F104" s="9">
        <v>28.8</v>
      </c>
      <c r="G104" s="20">
        <f t="shared" si="5"/>
        <v>0.1388888888888889</v>
      </c>
      <c r="H104" s="21">
        <f t="shared" si="6"/>
        <v>14.4</v>
      </c>
      <c r="I104" s="21">
        <f t="shared" si="7"/>
        <v>2.8800000000000003</v>
      </c>
      <c r="J104" s="21">
        <f t="shared" si="8"/>
        <v>31.68</v>
      </c>
      <c r="K104" s="21">
        <f t="shared" si="9"/>
        <v>32</v>
      </c>
      <c r="L104" s="8" t="s">
        <v>430</v>
      </c>
      <c r="M104" s="10" t="s">
        <v>431</v>
      </c>
      <c r="N104" s="11" t="s">
        <v>432</v>
      </c>
      <c r="O104" s="15"/>
      <c r="P104" s="14"/>
      <c r="Q104" s="13"/>
      <c r="R104" s="13"/>
    </row>
    <row r="105" spans="1:18" x14ac:dyDescent="0.2">
      <c r="A105">
        <v>107101</v>
      </c>
      <c r="B105" s="8" t="s">
        <v>433</v>
      </c>
      <c r="C105" s="8" t="s">
        <v>434</v>
      </c>
      <c r="D105" s="8" t="s">
        <v>64</v>
      </c>
      <c r="E105" s="9">
        <v>9.59</v>
      </c>
      <c r="F105" s="9">
        <v>15.99</v>
      </c>
      <c r="G105" s="20">
        <f t="shared" si="5"/>
        <v>0.17386463349791939</v>
      </c>
      <c r="H105" s="21">
        <f t="shared" si="6"/>
        <v>6.4</v>
      </c>
      <c r="I105" s="21">
        <f t="shared" si="7"/>
        <v>1.2800000000000002</v>
      </c>
      <c r="J105" s="21">
        <f t="shared" si="8"/>
        <v>17.27</v>
      </c>
      <c r="K105" s="21">
        <f t="shared" si="9"/>
        <v>18</v>
      </c>
      <c r="L105" s="8" t="s">
        <v>435</v>
      </c>
      <c r="M105" s="10" t="s">
        <v>436</v>
      </c>
      <c r="N105" s="11" t="s">
        <v>437</v>
      </c>
      <c r="O105" s="11" t="s">
        <v>438</v>
      </c>
      <c r="P105" s="14"/>
      <c r="Q105" s="13"/>
      <c r="R105" s="13"/>
    </row>
    <row r="106" spans="1:18" x14ac:dyDescent="0.2">
      <c r="A106">
        <v>107102</v>
      </c>
      <c r="B106" s="8" t="s">
        <v>433</v>
      </c>
      <c r="C106" s="8" t="s">
        <v>439</v>
      </c>
      <c r="D106" s="8" t="s">
        <v>39</v>
      </c>
      <c r="E106" s="9">
        <v>11.99</v>
      </c>
      <c r="F106" s="9">
        <v>19.989999999999998</v>
      </c>
      <c r="G106" s="20">
        <f t="shared" si="5"/>
        <v>0.13905109971403748</v>
      </c>
      <c r="H106" s="21">
        <f t="shared" si="6"/>
        <v>7.9999999999999982</v>
      </c>
      <c r="I106" s="21">
        <f t="shared" si="7"/>
        <v>1.5999999999999996</v>
      </c>
      <c r="J106" s="21">
        <f t="shared" si="8"/>
        <v>21.589999999999996</v>
      </c>
      <c r="K106" s="21">
        <f t="shared" si="9"/>
        <v>22</v>
      </c>
      <c r="L106" s="8" t="s">
        <v>440</v>
      </c>
      <c r="M106" s="10" t="s">
        <v>441</v>
      </c>
      <c r="N106" s="11" t="s">
        <v>442</v>
      </c>
      <c r="O106" s="11" t="s">
        <v>443</v>
      </c>
      <c r="P106" s="14"/>
      <c r="Q106" s="13"/>
      <c r="R106" s="13"/>
    </row>
    <row r="107" spans="1:18" x14ac:dyDescent="0.2">
      <c r="A107">
        <v>107103</v>
      </c>
      <c r="B107" s="8" t="s">
        <v>433</v>
      </c>
      <c r="C107" s="8" t="s">
        <v>444</v>
      </c>
      <c r="D107" s="8" t="s">
        <v>445</v>
      </c>
      <c r="E107" s="9">
        <v>17.39</v>
      </c>
      <c r="F107" s="9">
        <v>28.99</v>
      </c>
      <c r="G107" s="20">
        <f t="shared" si="5"/>
        <v>9.5862566345724917E-2</v>
      </c>
      <c r="H107" s="21">
        <f t="shared" si="6"/>
        <v>11.599999999999998</v>
      </c>
      <c r="I107" s="21">
        <f t="shared" si="7"/>
        <v>2.3199999999999998</v>
      </c>
      <c r="J107" s="21">
        <f t="shared" si="8"/>
        <v>31.31</v>
      </c>
      <c r="K107" s="21">
        <f t="shared" si="9"/>
        <v>32</v>
      </c>
      <c r="L107" s="8" t="s">
        <v>446</v>
      </c>
      <c r="M107" s="10" t="s">
        <v>447</v>
      </c>
      <c r="N107" s="11" t="s">
        <v>448</v>
      </c>
      <c r="O107" s="11" t="s">
        <v>449</v>
      </c>
      <c r="P107" s="12" t="s">
        <v>450</v>
      </c>
      <c r="Q107" s="13"/>
      <c r="R107" s="13"/>
    </row>
    <row r="108" spans="1:18" x14ac:dyDescent="0.2">
      <c r="A108">
        <v>107104</v>
      </c>
      <c r="B108" s="8" t="s">
        <v>433</v>
      </c>
      <c r="C108" s="8" t="s">
        <v>451</v>
      </c>
      <c r="D108" s="8" t="s">
        <v>445</v>
      </c>
      <c r="E108" s="9">
        <v>9.59</v>
      </c>
      <c r="F108" s="9">
        <v>15.99</v>
      </c>
      <c r="G108" s="20">
        <f t="shared" si="5"/>
        <v>0.17386463349791939</v>
      </c>
      <c r="H108" s="21">
        <f t="shared" si="6"/>
        <v>6.4</v>
      </c>
      <c r="I108" s="21">
        <f t="shared" si="7"/>
        <v>1.2800000000000002</v>
      </c>
      <c r="J108" s="21">
        <f t="shared" si="8"/>
        <v>17.27</v>
      </c>
      <c r="K108" s="21">
        <f t="shared" si="9"/>
        <v>18</v>
      </c>
      <c r="L108" s="8" t="s">
        <v>452</v>
      </c>
      <c r="M108" s="10" t="s">
        <v>453</v>
      </c>
      <c r="N108" s="15"/>
      <c r="O108" s="15"/>
      <c r="P108" s="14"/>
      <c r="Q108" s="13"/>
      <c r="R108" s="13"/>
    </row>
    <row r="109" spans="1:18" x14ac:dyDescent="0.2">
      <c r="A109">
        <v>107105</v>
      </c>
      <c r="B109" s="8" t="s">
        <v>433</v>
      </c>
      <c r="C109" s="8" t="s">
        <v>454</v>
      </c>
      <c r="D109" s="8" t="s">
        <v>39</v>
      </c>
      <c r="E109" s="9">
        <v>11.99</v>
      </c>
      <c r="F109" s="9">
        <v>19.989999999999998</v>
      </c>
      <c r="G109" s="20">
        <f t="shared" si="5"/>
        <v>0.13905109971403748</v>
      </c>
      <c r="H109" s="21">
        <f t="shared" si="6"/>
        <v>7.9999999999999982</v>
      </c>
      <c r="I109" s="21">
        <f t="shared" si="7"/>
        <v>1.5999999999999996</v>
      </c>
      <c r="J109" s="21">
        <f t="shared" si="8"/>
        <v>21.589999999999996</v>
      </c>
      <c r="K109" s="21">
        <f t="shared" si="9"/>
        <v>22</v>
      </c>
      <c r="L109" s="8" t="s">
        <v>455</v>
      </c>
      <c r="M109" s="10" t="s">
        <v>456</v>
      </c>
      <c r="N109" s="11" t="s">
        <v>457</v>
      </c>
      <c r="O109" s="11" t="s">
        <v>458</v>
      </c>
      <c r="P109" s="14"/>
      <c r="Q109" s="13"/>
      <c r="R109" s="13"/>
    </row>
    <row r="110" spans="1:18" x14ac:dyDescent="0.2">
      <c r="A110">
        <v>107106</v>
      </c>
      <c r="B110" s="8" t="s">
        <v>433</v>
      </c>
      <c r="C110" s="8" t="s">
        <v>459</v>
      </c>
      <c r="D110" s="8" t="s">
        <v>460</v>
      </c>
      <c r="E110" s="9">
        <v>11.39</v>
      </c>
      <c r="F110" s="9">
        <v>18.989999999999998</v>
      </c>
      <c r="G110" s="20">
        <f t="shared" si="5"/>
        <v>0.14637857554144268</v>
      </c>
      <c r="H110" s="21">
        <f t="shared" si="6"/>
        <v>7.5999999999999979</v>
      </c>
      <c r="I110" s="21">
        <f t="shared" si="7"/>
        <v>1.5199999999999996</v>
      </c>
      <c r="J110" s="21">
        <f t="shared" si="8"/>
        <v>20.509999999999998</v>
      </c>
      <c r="K110" s="21">
        <f t="shared" si="9"/>
        <v>21</v>
      </c>
      <c r="L110" s="8" t="s">
        <v>461</v>
      </c>
      <c r="M110" s="10" t="s">
        <v>462</v>
      </c>
      <c r="N110" s="15"/>
      <c r="O110" s="15"/>
      <c r="P110" s="14"/>
      <c r="Q110" s="13"/>
      <c r="R110" s="13"/>
    </row>
    <row r="111" spans="1:18" x14ac:dyDescent="0.2">
      <c r="A111">
        <v>107107</v>
      </c>
      <c r="B111" s="8" t="s">
        <v>433</v>
      </c>
      <c r="C111" s="8" t="s">
        <v>463</v>
      </c>
      <c r="D111" s="8" t="s">
        <v>464</v>
      </c>
      <c r="E111" s="9">
        <v>17.39</v>
      </c>
      <c r="F111" s="9">
        <v>28.99</v>
      </c>
      <c r="G111" s="20">
        <f t="shared" si="5"/>
        <v>9.5862566345724917E-2</v>
      </c>
      <c r="H111" s="21">
        <f t="shared" si="6"/>
        <v>11.599999999999998</v>
      </c>
      <c r="I111" s="21">
        <f t="shared" si="7"/>
        <v>2.3199999999999998</v>
      </c>
      <c r="J111" s="21">
        <f t="shared" si="8"/>
        <v>31.31</v>
      </c>
      <c r="K111" s="21">
        <f t="shared" si="9"/>
        <v>32</v>
      </c>
      <c r="L111" s="8" t="s">
        <v>465</v>
      </c>
      <c r="M111" s="10" t="s">
        <v>466</v>
      </c>
      <c r="N111" s="11" t="s">
        <v>467</v>
      </c>
      <c r="O111" s="11" t="s">
        <v>468</v>
      </c>
      <c r="P111" s="14"/>
      <c r="Q111" s="13"/>
      <c r="R111" s="13"/>
    </row>
    <row r="112" spans="1:18" x14ac:dyDescent="0.2">
      <c r="A112">
        <v>107108</v>
      </c>
      <c r="B112" s="8" t="s">
        <v>433</v>
      </c>
      <c r="C112" s="8" t="s">
        <v>469</v>
      </c>
      <c r="D112" s="8" t="s">
        <v>445</v>
      </c>
      <c r="E112" s="9">
        <v>17.39</v>
      </c>
      <c r="F112" s="9">
        <v>28.99</v>
      </c>
      <c r="G112" s="20">
        <f t="shared" si="5"/>
        <v>9.5862566345724917E-2</v>
      </c>
      <c r="H112" s="21">
        <f t="shared" si="6"/>
        <v>11.599999999999998</v>
      </c>
      <c r="I112" s="21">
        <f t="shared" si="7"/>
        <v>2.3199999999999998</v>
      </c>
      <c r="J112" s="21">
        <f t="shared" si="8"/>
        <v>31.31</v>
      </c>
      <c r="K112" s="21">
        <f t="shared" si="9"/>
        <v>32</v>
      </c>
      <c r="L112" s="8" t="s">
        <v>470</v>
      </c>
      <c r="M112" s="10" t="s">
        <v>471</v>
      </c>
      <c r="N112" s="11" t="s">
        <v>472</v>
      </c>
      <c r="O112" s="11" t="s">
        <v>473</v>
      </c>
      <c r="P112" s="12" t="s">
        <v>474</v>
      </c>
      <c r="Q112" s="13"/>
      <c r="R112" s="13"/>
    </row>
    <row r="113" spans="1:18" x14ac:dyDescent="0.2">
      <c r="A113">
        <v>107109</v>
      </c>
      <c r="B113" s="8" t="s">
        <v>433</v>
      </c>
      <c r="C113" s="8" t="s">
        <v>475</v>
      </c>
      <c r="D113" s="8" t="s">
        <v>445</v>
      </c>
      <c r="E113" s="9">
        <v>17.39</v>
      </c>
      <c r="F113" s="9">
        <v>28.99</v>
      </c>
      <c r="G113" s="20">
        <f t="shared" si="5"/>
        <v>9.5862566345724917E-2</v>
      </c>
      <c r="H113" s="21">
        <f t="shared" si="6"/>
        <v>11.599999999999998</v>
      </c>
      <c r="I113" s="21">
        <f t="shared" si="7"/>
        <v>2.3199999999999998</v>
      </c>
      <c r="J113" s="21">
        <f t="shared" si="8"/>
        <v>31.31</v>
      </c>
      <c r="K113" s="21">
        <f t="shared" si="9"/>
        <v>32</v>
      </c>
      <c r="L113" s="8" t="s">
        <v>476</v>
      </c>
      <c r="M113" s="10" t="s">
        <v>477</v>
      </c>
      <c r="N113" s="11" t="s">
        <v>478</v>
      </c>
      <c r="O113" s="11" t="s">
        <v>479</v>
      </c>
      <c r="P113" s="12" t="s">
        <v>480</v>
      </c>
      <c r="Q113" s="13"/>
      <c r="R113" s="13"/>
    </row>
    <row r="114" spans="1:18" x14ac:dyDescent="0.2">
      <c r="A114">
        <v>107110</v>
      </c>
      <c r="B114" s="8" t="s">
        <v>433</v>
      </c>
      <c r="C114" s="8" t="s">
        <v>481</v>
      </c>
      <c r="D114" s="8" t="s">
        <v>445</v>
      </c>
      <c r="E114" s="9">
        <v>9.59</v>
      </c>
      <c r="F114" s="9">
        <v>15.99</v>
      </c>
      <c r="G114" s="20">
        <f t="shared" si="5"/>
        <v>0.17386463349791939</v>
      </c>
      <c r="H114" s="21">
        <f t="shared" si="6"/>
        <v>6.4</v>
      </c>
      <c r="I114" s="21">
        <f t="shared" si="7"/>
        <v>1.2800000000000002</v>
      </c>
      <c r="J114" s="21">
        <f t="shared" si="8"/>
        <v>17.27</v>
      </c>
      <c r="K114" s="21">
        <f t="shared" si="9"/>
        <v>18</v>
      </c>
      <c r="L114" s="8" t="s">
        <v>482</v>
      </c>
      <c r="M114" s="10" t="s">
        <v>483</v>
      </c>
      <c r="N114" s="15"/>
      <c r="O114" s="15"/>
      <c r="P114" s="14"/>
      <c r="Q114" s="13"/>
      <c r="R114" s="13"/>
    </row>
    <row r="115" spans="1:18" x14ac:dyDescent="0.2">
      <c r="A115">
        <v>107111</v>
      </c>
      <c r="B115" s="8" t="s">
        <v>433</v>
      </c>
      <c r="C115" s="8" t="s">
        <v>484</v>
      </c>
      <c r="D115" s="8" t="s">
        <v>445</v>
      </c>
      <c r="E115" s="9">
        <v>10.79</v>
      </c>
      <c r="F115" s="9">
        <v>17.989999999999998</v>
      </c>
      <c r="G115" s="20">
        <f t="shared" si="5"/>
        <v>0.15452127179853656</v>
      </c>
      <c r="H115" s="21">
        <f t="shared" si="6"/>
        <v>7.1999999999999993</v>
      </c>
      <c r="I115" s="21">
        <f t="shared" si="7"/>
        <v>1.44</v>
      </c>
      <c r="J115" s="21">
        <f t="shared" si="8"/>
        <v>19.43</v>
      </c>
      <c r="K115" s="21">
        <f t="shared" si="9"/>
        <v>20</v>
      </c>
      <c r="L115" s="8" t="s">
        <v>485</v>
      </c>
      <c r="M115" s="10" t="s">
        <v>486</v>
      </c>
      <c r="N115" s="15"/>
      <c r="O115" s="15"/>
      <c r="P115" s="14"/>
      <c r="Q115" s="13"/>
      <c r="R115" s="13"/>
    </row>
    <row r="116" spans="1:18" x14ac:dyDescent="0.2">
      <c r="A116">
        <v>107112</v>
      </c>
      <c r="B116" s="8" t="s">
        <v>433</v>
      </c>
      <c r="C116" s="8" t="s">
        <v>487</v>
      </c>
      <c r="D116" s="8" t="s">
        <v>460</v>
      </c>
      <c r="E116" s="9">
        <v>10.19</v>
      </c>
      <c r="F116" s="9">
        <v>16.989999999999998</v>
      </c>
      <c r="G116" s="20">
        <f t="shared" si="5"/>
        <v>0.16362324856191632</v>
      </c>
      <c r="H116" s="21">
        <f t="shared" si="6"/>
        <v>6.7999999999999989</v>
      </c>
      <c r="I116" s="21">
        <f t="shared" si="7"/>
        <v>1.3599999999999999</v>
      </c>
      <c r="J116" s="21">
        <f t="shared" si="8"/>
        <v>18.349999999999998</v>
      </c>
      <c r="K116" s="21">
        <f t="shared" si="9"/>
        <v>19</v>
      </c>
      <c r="L116" s="8" t="s">
        <v>488</v>
      </c>
      <c r="M116" s="10" t="s">
        <v>489</v>
      </c>
      <c r="N116" s="11" t="s">
        <v>490</v>
      </c>
      <c r="O116" s="11" t="s">
        <v>491</v>
      </c>
      <c r="P116" s="14"/>
      <c r="Q116" s="13"/>
      <c r="R116" s="13"/>
    </row>
    <row r="117" spans="1:18" x14ac:dyDescent="0.2">
      <c r="A117">
        <v>107113</v>
      </c>
      <c r="B117" s="8" t="s">
        <v>433</v>
      </c>
      <c r="C117" s="8" t="s">
        <v>492</v>
      </c>
      <c r="D117" s="8" t="s">
        <v>64</v>
      </c>
      <c r="E117" s="9">
        <v>8.99</v>
      </c>
      <c r="F117" s="9">
        <v>14.99</v>
      </c>
      <c r="G117" s="20">
        <f t="shared" si="5"/>
        <v>0.18547366311103303</v>
      </c>
      <c r="H117" s="21">
        <f t="shared" si="6"/>
        <v>6</v>
      </c>
      <c r="I117" s="21">
        <f t="shared" si="7"/>
        <v>1.2000000000000002</v>
      </c>
      <c r="J117" s="21">
        <f t="shared" si="8"/>
        <v>16.190000000000001</v>
      </c>
      <c r="K117" s="21">
        <f t="shared" si="9"/>
        <v>17</v>
      </c>
      <c r="L117" s="8" t="s">
        <v>493</v>
      </c>
      <c r="M117" s="10" t="s">
        <v>494</v>
      </c>
      <c r="N117" s="11" t="s">
        <v>495</v>
      </c>
      <c r="O117" s="11" t="s">
        <v>496</v>
      </c>
      <c r="P117" s="14"/>
      <c r="Q117" s="13"/>
      <c r="R117" s="13"/>
    </row>
    <row r="118" spans="1:18" x14ac:dyDescent="0.2">
      <c r="A118">
        <v>107114</v>
      </c>
      <c r="B118" s="8" t="s">
        <v>433</v>
      </c>
      <c r="C118" s="8" t="s">
        <v>497</v>
      </c>
      <c r="D118" s="8" t="s">
        <v>498</v>
      </c>
      <c r="E118" s="9">
        <v>12.59</v>
      </c>
      <c r="F118" s="9">
        <v>20.99</v>
      </c>
      <c r="G118" s="20">
        <f t="shared" si="5"/>
        <v>0.13242225476174405</v>
      </c>
      <c r="H118" s="21">
        <f t="shared" si="6"/>
        <v>8.3999999999999986</v>
      </c>
      <c r="I118" s="21">
        <f t="shared" si="7"/>
        <v>1.6799999999999997</v>
      </c>
      <c r="J118" s="21">
        <f t="shared" si="8"/>
        <v>22.669999999999998</v>
      </c>
      <c r="K118" s="21">
        <f t="shared" si="9"/>
        <v>23</v>
      </c>
      <c r="L118" s="8" t="s">
        <v>499</v>
      </c>
      <c r="M118" s="10" t="s">
        <v>500</v>
      </c>
      <c r="N118" s="11" t="s">
        <v>501</v>
      </c>
      <c r="O118" s="11" t="s">
        <v>502</v>
      </c>
      <c r="P118" s="14"/>
      <c r="Q118" s="13"/>
      <c r="R118" s="13"/>
    </row>
    <row r="119" spans="1:18" x14ac:dyDescent="0.2">
      <c r="A119">
        <v>107115</v>
      </c>
      <c r="B119" s="8" t="s">
        <v>433</v>
      </c>
      <c r="C119" s="8" t="s">
        <v>503</v>
      </c>
      <c r="D119" s="8" t="s">
        <v>445</v>
      </c>
      <c r="E119" s="9">
        <v>17.989999999999998</v>
      </c>
      <c r="F119" s="9">
        <v>29.99</v>
      </c>
      <c r="G119" s="20">
        <f t="shared" si="5"/>
        <v>9.2664660528778739E-2</v>
      </c>
      <c r="H119" s="21">
        <f t="shared" si="6"/>
        <v>12</v>
      </c>
      <c r="I119" s="21">
        <f t="shared" si="7"/>
        <v>2.4000000000000004</v>
      </c>
      <c r="J119" s="21">
        <f t="shared" si="8"/>
        <v>32.39</v>
      </c>
      <c r="K119" s="21">
        <f t="shared" si="9"/>
        <v>33</v>
      </c>
      <c r="L119" s="8" t="s">
        <v>504</v>
      </c>
      <c r="M119" s="10" t="s">
        <v>505</v>
      </c>
      <c r="N119" s="11" t="s">
        <v>506</v>
      </c>
      <c r="O119" s="11" t="s">
        <v>507</v>
      </c>
      <c r="P119" s="12" t="s">
        <v>508</v>
      </c>
      <c r="Q119" s="13"/>
      <c r="R119" s="13"/>
    </row>
    <row r="120" spans="1:18" x14ac:dyDescent="0.2">
      <c r="A120">
        <v>107116</v>
      </c>
      <c r="B120" s="8" t="s">
        <v>433</v>
      </c>
      <c r="C120" s="8" t="s">
        <v>509</v>
      </c>
      <c r="D120" s="8" t="s">
        <v>510</v>
      </c>
      <c r="E120" s="9">
        <v>12.59</v>
      </c>
      <c r="F120" s="9">
        <v>20.99</v>
      </c>
      <c r="G120" s="20">
        <f t="shared" si="5"/>
        <v>0.13242225476174405</v>
      </c>
      <c r="H120" s="21">
        <f t="shared" si="6"/>
        <v>8.3999999999999986</v>
      </c>
      <c r="I120" s="21">
        <f t="shared" si="7"/>
        <v>1.6799999999999997</v>
      </c>
      <c r="J120" s="21">
        <f t="shared" si="8"/>
        <v>22.669999999999998</v>
      </c>
      <c r="K120" s="21">
        <f t="shared" si="9"/>
        <v>23</v>
      </c>
      <c r="L120" s="8" t="s">
        <v>511</v>
      </c>
      <c r="M120" s="10" t="s">
        <v>512</v>
      </c>
      <c r="N120" s="11" t="s">
        <v>513</v>
      </c>
      <c r="O120" s="11" t="s">
        <v>514</v>
      </c>
      <c r="P120" s="14"/>
      <c r="Q120" s="13"/>
      <c r="R120" s="13"/>
    </row>
    <row r="121" spans="1:18" x14ac:dyDescent="0.2">
      <c r="A121">
        <v>107117</v>
      </c>
      <c r="B121" s="8" t="s">
        <v>433</v>
      </c>
      <c r="C121" s="8" t="s">
        <v>515</v>
      </c>
      <c r="D121" s="8" t="s">
        <v>349</v>
      </c>
      <c r="E121" s="9">
        <v>17.989999999999998</v>
      </c>
      <c r="F121" s="9">
        <v>29.99</v>
      </c>
      <c r="G121" s="20">
        <f t="shared" si="5"/>
        <v>9.2664660528778739E-2</v>
      </c>
      <c r="H121" s="21">
        <f t="shared" si="6"/>
        <v>12</v>
      </c>
      <c r="I121" s="21">
        <f t="shared" si="7"/>
        <v>2.4000000000000004</v>
      </c>
      <c r="J121" s="21">
        <f t="shared" si="8"/>
        <v>32.39</v>
      </c>
      <c r="K121" s="21">
        <f t="shared" si="9"/>
        <v>33</v>
      </c>
      <c r="L121" s="8" t="s">
        <v>516</v>
      </c>
      <c r="M121" s="10" t="s">
        <v>517</v>
      </c>
      <c r="N121" s="15"/>
      <c r="O121" s="15"/>
      <c r="P121" s="14"/>
      <c r="Q121" s="13"/>
      <c r="R121" s="13"/>
    </row>
    <row r="122" spans="1:18" x14ac:dyDescent="0.2">
      <c r="A122">
        <v>107118</v>
      </c>
      <c r="B122" s="8" t="s">
        <v>433</v>
      </c>
      <c r="C122" s="8" t="s">
        <v>518</v>
      </c>
      <c r="D122" s="8" t="s">
        <v>70</v>
      </c>
      <c r="E122" s="9">
        <v>8.99</v>
      </c>
      <c r="F122" s="9">
        <v>14.99</v>
      </c>
      <c r="G122" s="20">
        <f t="shared" si="5"/>
        <v>0.18547366311103303</v>
      </c>
      <c r="H122" s="21">
        <f t="shared" si="6"/>
        <v>6</v>
      </c>
      <c r="I122" s="21">
        <f t="shared" si="7"/>
        <v>1.2000000000000002</v>
      </c>
      <c r="J122" s="21">
        <f t="shared" si="8"/>
        <v>16.190000000000001</v>
      </c>
      <c r="K122" s="21">
        <f t="shared" si="9"/>
        <v>17</v>
      </c>
      <c r="L122" s="8" t="s">
        <v>519</v>
      </c>
      <c r="M122" s="10" t="s">
        <v>520</v>
      </c>
      <c r="N122" s="15"/>
      <c r="O122" s="15"/>
      <c r="P122" s="14"/>
      <c r="Q122" s="13"/>
      <c r="R122" s="13"/>
    </row>
    <row r="123" spans="1:18" x14ac:dyDescent="0.2">
      <c r="A123">
        <v>107119</v>
      </c>
      <c r="B123" s="8" t="s">
        <v>433</v>
      </c>
      <c r="C123" s="8" t="s">
        <v>521</v>
      </c>
      <c r="D123" s="8" t="s">
        <v>70</v>
      </c>
      <c r="E123" s="9">
        <v>8.99</v>
      </c>
      <c r="F123" s="9">
        <v>14.99</v>
      </c>
      <c r="G123" s="20">
        <f t="shared" si="5"/>
        <v>0.18547366311103303</v>
      </c>
      <c r="H123" s="21">
        <f t="shared" si="6"/>
        <v>6</v>
      </c>
      <c r="I123" s="21">
        <f t="shared" si="7"/>
        <v>1.2000000000000002</v>
      </c>
      <c r="J123" s="21">
        <f t="shared" si="8"/>
        <v>16.190000000000001</v>
      </c>
      <c r="K123" s="21">
        <f t="shared" si="9"/>
        <v>17</v>
      </c>
      <c r="L123" s="8" t="s">
        <v>522</v>
      </c>
      <c r="M123" s="10" t="s">
        <v>523</v>
      </c>
      <c r="N123" s="15"/>
      <c r="O123" s="15"/>
      <c r="P123" s="14"/>
      <c r="Q123" s="13"/>
      <c r="R123" s="13"/>
    </row>
    <row r="124" spans="1:18" x14ac:dyDescent="0.2">
      <c r="A124">
        <v>107120</v>
      </c>
      <c r="B124" s="8" t="s">
        <v>433</v>
      </c>
      <c r="C124" s="8" t="s">
        <v>524</v>
      </c>
      <c r="D124" s="8" t="s">
        <v>39</v>
      </c>
      <c r="E124" s="9">
        <v>11.99</v>
      </c>
      <c r="F124" s="9">
        <v>19.989999999999998</v>
      </c>
      <c r="G124" s="20">
        <f t="shared" si="5"/>
        <v>0.13905109971403748</v>
      </c>
      <c r="H124" s="21">
        <f t="shared" si="6"/>
        <v>7.9999999999999982</v>
      </c>
      <c r="I124" s="21">
        <f t="shared" si="7"/>
        <v>1.5999999999999996</v>
      </c>
      <c r="J124" s="21">
        <f t="shared" si="8"/>
        <v>21.589999999999996</v>
      </c>
      <c r="K124" s="21">
        <f t="shared" si="9"/>
        <v>22</v>
      </c>
      <c r="L124" s="8" t="s">
        <v>525</v>
      </c>
      <c r="M124" s="10" t="s">
        <v>526</v>
      </c>
      <c r="N124" s="11" t="s">
        <v>527</v>
      </c>
      <c r="O124" s="11" t="s">
        <v>528</v>
      </c>
      <c r="P124" s="14"/>
      <c r="Q124" s="13"/>
      <c r="R124" s="13"/>
    </row>
    <row r="125" spans="1:18" x14ac:dyDescent="0.2">
      <c r="A125">
        <v>107121</v>
      </c>
      <c r="B125" s="8" t="s">
        <v>433</v>
      </c>
      <c r="C125" s="8" t="s">
        <v>529</v>
      </c>
      <c r="D125" s="8" t="s">
        <v>445</v>
      </c>
      <c r="E125" s="9">
        <v>17.39</v>
      </c>
      <c r="F125" s="9">
        <v>28.99</v>
      </c>
      <c r="G125" s="20">
        <f t="shared" si="5"/>
        <v>9.5862566345724917E-2</v>
      </c>
      <c r="H125" s="21">
        <f t="shared" si="6"/>
        <v>11.599999999999998</v>
      </c>
      <c r="I125" s="21">
        <f t="shared" si="7"/>
        <v>2.3199999999999998</v>
      </c>
      <c r="J125" s="21">
        <f t="shared" si="8"/>
        <v>31.31</v>
      </c>
      <c r="K125" s="21">
        <f t="shared" si="9"/>
        <v>32</v>
      </c>
      <c r="L125" s="8" t="s">
        <v>530</v>
      </c>
      <c r="M125" s="10" t="s">
        <v>531</v>
      </c>
      <c r="N125" s="11" t="s">
        <v>532</v>
      </c>
      <c r="O125" s="11" t="s">
        <v>533</v>
      </c>
      <c r="P125" s="12" t="s">
        <v>534</v>
      </c>
      <c r="Q125" s="13"/>
      <c r="R125" s="13"/>
    </row>
    <row r="126" spans="1:18" x14ac:dyDescent="0.2">
      <c r="A126">
        <v>107122</v>
      </c>
      <c r="B126" s="8" t="s">
        <v>433</v>
      </c>
      <c r="C126" s="8" t="s">
        <v>535</v>
      </c>
      <c r="D126" s="8" t="s">
        <v>64</v>
      </c>
      <c r="E126" s="9">
        <v>8.99</v>
      </c>
      <c r="F126" s="9">
        <v>14.99</v>
      </c>
      <c r="G126" s="20">
        <f t="shared" si="5"/>
        <v>0.18547366311103303</v>
      </c>
      <c r="H126" s="21">
        <f t="shared" si="6"/>
        <v>6</v>
      </c>
      <c r="I126" s="21">
        <f t="shared" si="7"/>
        <v>1.2000000000000002</v>
      </c>
      <c r="J126" s="21">
        <f t="shared" si="8"/>
        <v>16.190000000000001</v>
      </c>
      <c r="K126" s="21">
        <f t="shared" si="9"/>
        <v>17</v>
      </c>
      <c r="L126" s="8" t="s">
        <v>536</v>
      </c>
      <c r="M126" s="10" t="s">
        <v>537</v>
      </c>
      <c r="N126" s="11" t="s">
        <v>538</v>
      </c>
      <c r="O126" s="11" t="s">
        <v>539</v>
      </c>
      <c r="P126" s="14"/>
      <c r="Q126" s="13"/>
      <c r="R126" s="13"/>
    </row>
    <row r="127" spans="1:18" x14ac:dyDescent="0.2">
      <c r="A127">
        <v>107123</v>
      </c>
      <c r="B127" s="8" t="s">
        <v>433</v>
      </c>
      <c r="C127" s="8" t="s">
        <v>540</v>
      </c>
      <c r="D127" s="8" t="s">
        <v>349</v>
      </c>
      <c r="E127" s="9">
        <v>17.989999999999998</v>
      </c>
      <c r="F127" s="9">
        <v>29.99</v>
      </c>
      <c r="G127" s="20">
        <f t="shared" si="5"/>
        <v>9.2664660528778739E-2</v>
      </c>
      <c r="H127" s="21">
        <f t="shared" si="6"/>
        <v>12</v>
      </c>
      <c r="I127" s="21">
        <f t="shared" si="7"/>
        <v>2.4000000000000004</v>
      </c>
      <c r="J127" s="21">
        <f t="shared" si="8"/>
        <v>32.39</v>
      </c>
      <c r="K127" s="21">
        <f t="shared" si="9"/>
        <v>33</v>
      </c>
      <c r="L127" s="8" t="s">
        <v>541</v>
      </c>
      <c r="M127" s="10" t="s">
        <v>542</v>
      </c>
      <c r="N127" s="11" t="s">
        <v>543</v>
      </c>
      <c r="O127" s="11" t="s">
        <v>544</v>
      </c>
      <c r="P127" s="14"/>
      <c r="Q127" s="13"/>
      <c r="R127" s="13"/>
    </row>
    <row r="128" spans="1:18" x14ac:dyDescent="0.2">
      <c r="A128">
        <v>107124</v>
      </c>
      <c r="B128" s="8" t="s">
        <v>433</v>
      </c>
      <c r="C128" s="8" t="s">
        <v>545</v>
      </c>
      <c r="D128" s="8" t="s">
        <v>64</v>
      </c>
      <c r="E128" s="9">
        <v>9.59</v>
      </c>
      <c r="F128" s="9">
        <v>15.99</v>
      </c>
      <c r="G128" s="20">
        <f t="shared" si="5"/>
        <v>0.17386463349791939</v>
      </c>
      <c r="H128" s="21">
        <f t="shared" si="6"/>
        <v>6.4</v>
      </c>
      <c r="I128" s="21">
        <f t="shared" si="7"/>
        <v>1.2800000000000002</v>
      </c>
      <c r="J128" s="21">
        <f t="shared" si="8"/>
        <v>17.27</v>
      </c>
      <c r="K128" s="21">
        <f t="shared" si="9"/>
        <v>18</v>
      </c>
      <c r="L128" s="8" t="s">
        <v>546</v>
      </c>
      <c r="M128" s="10" t="s">
        <v>547</v>
      </c>
      <c r="N128" s="11" t="s">
        <v>548</v>
      </c>
      <c r="O128" s="11" t="s">
        <v>549</v>
      </c>
      <c r="P128" s="14"/>
      <c r="Q128" s="13"/>
      <c r="R128" s="13"/>
    </row>
    <row r="129" spans="1:18" x14ac:dyDescent="0.2">
      <c r="A129">
        <v>107125</v>
      </c>
      <c r="B129" s="8" t="s">
        <v>433</v>
      </c>
      <c r="C129" s="8" t="s">
        <v>550</v>
      </c>
      <c r="D129" s="8" t="s">
        <v>498</v>
      </c>
      <c r="E129" s="9">
        <v>11.99</v>
      </c>
      <c r="F129" s="9">
        <v>19.989999999999998</v>
      </c>
      <c r="G129" s="20">
        <f t="shared" si="5"/>
        <v>0.13905109971403748</v>
      </c>
      <c r="H129" s="21">
        <f t="shared" si="6"/>
        <v>7.9999999999999982</v>
      </c>
      <c r="I129" s="21">
        <f t="shared" si="7"/>
        <v>1.5999999999999996</v>
      </c>
      <c r="J129" s="21">
        <f t="shared" si="8"/>
        <v>21.589999999999996</v>
      </c>
      <c r="K129" s="21">
        <f t="shared" si="9"/>
        <v>22</v>
      </c>
      <c r="L129" s="8" t="s">
        <v>551</v>
      </c>
      <c r="M129" s="10" t="s">
        <v>552</v>
      </c>
      <c r="N129" s="11" t="s">
        <v>553</v>
      </c>
      <c r="O129" s="11" t="s">
        <v>554</v>
      </c>
      <c r="P129" s="14"/>
      <c r="Q129" s="13"/>
      <c r="R129" s="13"/>
    </row>
    <row r="130" spans="1:18" x14ac:dyDescent="0.2">
      <c r="A130">
        <v>107126</v>
      </c>
      <c r="B130" s="8" t="s">
        <v>433</v>
      </c>
      <c r="C130" s="8" t="s">
        <v>555</v>
      </c>
      <c r="D130" s="8" t="s">
        <v>445</v>
      </c>
      <c r="E130" s="9">
        <v>17.39</v>
      </c>
      <c r="F130" s="9">
        <v>28.99</v>
      </c>
      <c r="G130" s="20">
        <f t="shared" si="5"/>
        <v>9.5862566345724917E-2</v>
      </c>
      <c r="H130" s="21">
        <f t="shared" si="6"/>
        <v>11.599999999999998</v>
      </c>
      <c r="I130" s="21">
        <f t="shared" si="7"/>
        <v>2.3199999999999998</v>
      </c>
      <c r="J130" s="21">
        <f t="shared" si="8"/>
        <v>31.31</v>
      </c>
      <c r="K130" s="21">
        <f t="shared" si="9"/>
        <v>32</v>
      </c>
      <c r="L130" s="8" t="s">
        <v>556</v>
      </c>
      <c r="M130" s="10" t="s">
        <v>557</v>
      </c>
      <c r="N130" s="11" t="s">
        <v>558</v>
      </c>
      <c r="O130" s="11" t="s">
        <v>559</v>
      </c>
      <c r="P130" s="12" t="s">
        <v>560</v>
      </c>
      <c r="Q130" s="13"/>
      <c r="R130" s="13"/>
    </row>
    <row r="131" spans="1:18" x14ac:dyDescent="0.2">
      <c r="A131">
        <v>107127</v>
      </c>
      <c r="B131" s="8" t="s">
        <v>433</v>
      </c>
      <c r="C131" s="8" t="s">
        <v>561</v>
      </c>
      <c r="D131" s="8" t="s">
        <v>445</v>
      </c>
      <c r="E131" s="19">
        <v>10.79</v>
      </c>
      <c r="F131" s="19">
        <v>17.989999999999998</v>
      </c>
      <c r="G131" s="20">
        <f t="shared" ref="G131:G194" si="10">+(F131/E131)/E131</f>
        <v>0.15452127179853656</v>
      </c>
      <c r="H131" s="21">
        <f t="shared" ref="H131:H194" si="11">+F131-E131</f>
        <v>7.1999999999999993</v>
      </c>
      <c r="I131" s="21">
        <f t="shared" ref="I131:I194" si="12">+H131*0.2</f>
        <v>1.44</v>
      </c>
      <c r="J131" s="21">
        <f t="shared" ref="J131:J194" si="13">+E131+H131+I131</f>
        <v>19.43</v>
      </c>
      <c r="K131" s="21">
        <f t="shared" ref="K131:K194" si="14">+ROUNDUP(J131,0)</f>
        <v>20</v>
      </c>
      <c r="L131" s="8" t="s">
        <v>562</v>
      </c>
      <c r="M131" s="10" t="s">
        <v>563</v>
      </c>
      <c r="N131" s="11" t="s">
        <v>564</v>
      </c>
      <c r="O131" s="11" t="s">
        <v>565</v>
      </c>
      <c r="P131" s="12" t="s">
        <v>566</v>
      </c>
      <c r="Q131" s="13"/>
      <c r="R131" s="13"/>
    </row>
    <row r="132" spans="1:18" x14ac:dyDescent="0.2">
      <c r="A132">
        <v>107128</v>
      </c>
      <c r="B132" s="8" t="s">
        <v>433</v>
      </c>
      <c r="C132" s="8" t="s">
        <v>567</v>
      </c>
      <c r="D132" s="8" t="s">
        <v>464</v>
      </c>
      <c r="E132" s="9">
        <v>17.39</v>
      </c>
      <c r="F132" s="9">
        <v>28.99</v>
      </c>
      <c r="G132" s="20">
        <f t="shared" si="10"/>
        <v>9.5862566345724917E-2</v>
      </c>
      <c r="H132" s="21">
        <f t="shared" si="11"/>
        <v>11.599999999999998</v>
      </c>
      <c r="I132" s="21">
        <f t="shared" si="12"/>
        <v>2.3199999999999998</v>
      </c>
      <c r="J132" s="21">
        <f t="shared" si="13"/>
        <v>31.31</v>
      </c>
      <c r="K132" s="21">
        <f t="shared" si="14"/>
        <v>32</v>
      </c>
      <c r="L132" s="8" t="s">
        <v>568</v>
      </c>
      <c r="M132" s="10" t="s">
        <v>569</v>
      </c>
      <c r="N132" s="11" t="s">
        <v>570</v>
      </c>
      <c r="O132" s="11" t="s">
        <v>571</v>
      </c>
      <c r="P132" s="14"/>
      <c r="Q132" s="13"/>
      <c r="R132" s="13"/>
    </row>
    <row r="133" spans="1:18" x14ac:dyDescent="0.2">
      <c r="A133">
        <v>107129</v>
      </c>
      <c r="B133" s="8" t="s">
        <v>433</v>
      </c>
      <c r="C133" s="8" t="s">
        <v>572</v>
      </c>
      <c r="D133" s="8" t="s">
        <v>573</v>
      </c>
      <c r="E133" s="9">
        <v>8.99</v>
      </c>
      <c r="F133" s="9">
        <v>14.99</v>
      </c>
      <c r="G133" s="20">
        <f t="shared" si="10"/>
        <v>0.18547366311103303</v>
      </c>
      <c r="H133" s="21">
        <f t="shared" si="11"/>
        <v>6</v>
      </c>
      <c r="I133" s="21">
        <f t="shared" si="12"/>
        <v>1.2000000000000002</v>
      </c>
      <c r="J133" s="21">
        <f t="shared" si="13"/>
        <v>16.190000000000001</v>
      </c>
      <c r="K133" s="21">
        <f t="shared" si="14"/>
        <v>17</v>
      </c>
      <c r="L133" s="8" t="s">
        <v>574</v>
      </c>
      <c r="M133" s="10" t="s">
        <v>575</v>
      </c>
      <c r="N133" s="15"/>
      <c r="O133" s="15"/>
      <c r="P133" s="14"/>
      <c r="Q133" s="13"/>
      <c r="R133" s="13"/>
    </row>
    <row r="134" spans="1:18" x14ac:dyDescent="0.2">
      <c r="A134">
        <v>107130</v>
      </c>
      <c r="B134" s="8" t="s">
        <v>433</v>
      </c>
      <c r="C134" s="8" t="s">
        <v>576</v>
      </c>
      <c r="D134" s="8" t="s">
        <v>349</v>
      </c>
      <c r="E134" s="9">
        <v>12.59</v>
      </c>
      <c r="F134" s="9">
        <v>20.99</v>
      </c>
      <c r="G134" s="20">
        <f t="shared" si="10"/>
        <v>0.13242225476174405</v>
      </c>
      <c r="H134" s="21">
        <f t="shared" si="11"/>
        <v>8.3999999999999986</v>
      </c>
      <c r="I134" s="21">
        <f t="shared" si="12"/>
        <v>1.6799999999999997</v>
      </c>
      <c r="J134" s="21">
        <f t="shared" si="13"/>
        <v>22.669999999999998</v>
      </c>
      <c r="K134" s="21">
        <f t="shared" si="14"/>
        <v>23</v>
      </c>
      <c r="L134" s="8" t="s">
        <v>577</v>
      </c>
      <c r="M134" s="10" t="s">
        <v>578</v>
      </c>
      <c r="N134" s="11" t="s">
        <v>579</v>
      </c>
      <c r="O134" s="11" t="s">
        <v>580</v>
      </c>
      <c r="P134" s="14"/>
      <c r="Q134" s="13"/>
      <c r="R134" s="13"/>
    </row>
    <row r="135" spans="1:18" x14ac:dyDescent="0.2">
      <c r="A135">
        <v>107131</v>
      </c>
      <c r="B135" s="8" t="s">
        <v>433</v>
      </c>
      <c r="C135" s="8" t="s">
        <v>581</v>
      </c>
      <c r="D135" s="8" t="s">
        <v>445</v>
      </c>
      <c r="E135" s="9">
        <v>13.19</v>
      </c>
      <c r="F135" s="9">
        <v>21.99</v>
      </c>
      <c r="G135" s="20">
        <f t="shared" si="10"/>
        <v>0.12639667172674868</v>
      </c>
      <c r="H135" s="21">
        <f t="shared" si="11"/>
        <v>8.7999999999999989</v>
      </c>
      <c r="I135" s="21">
        <f t="shared" si="12"/>
        <v>1.7599999999999998</v>
      </c>
      <c r="J135" s="21">
        <f t="shared" si="13"/>
        <v>23.75</v>
      </c>
      <c r="K135" s="21">
        <f t="shared" si="14"/>
        <v>24</v>
      </c>
      <c r="L135" s="8" t="s">
        <v>582</v>
      </c>
      <c r="M135" s="10" t="s">
        <v>583</v>
      </c>
      <c r="N135" s="11" t="s">
        <v>584</v>
      </c>
      <c r="O135" s="11" t="s">
        <v>585</v>
      </c>
      <c r="P135" s="14"/>
      <c r="Q135" s="13"/>
      <c r="R135" s="13"/>
    </row>
    <row r="136" spans="1:18" x14ac:dyDescent="0.2">
      <c r="A136">
        <v>107132</v>
      </c>
      <c r="B136" s="8" t="s">
        <v>433</v>
      </c>
      <c r="C136" s="8" t="s">
        <v>586</v>
      </c>
      <c r="D136" s="8" t="s">
        <v>445</v>
      </c>
      <c r="E136" s="9">
        <v>13.19</v>
      </c>
      <c r="F136" s="9">
        <v>21.99</v>
      </c>
      <c r="G136" s="20">
        <f t="shared" si="10"/>
        <v>0.12639667172674868</v>
      </c>
      <c r="H136" s="21">
        <f t="shared" si="11"/>
        <v>8.7999999999999989</v>
      </c>
      <c r="I136" s="21">
        <f t="shared" si="12"/>
        <v>1.7599999999999998</v>
      </c>
      <c r="J136" s="21">
        <f t="shared" si="13"/>
        <v>23.75</v>
      </c>
      <c r="K136" s="21">
        <f t="shared" si="14"/>
        <v>24</v>
      </c>
      <c r="L136" s="8" t="s">
        <v>587</v>
      </c>
      <c r="M136" s="10" t="s">
        <v>588</v>
      </c>
      <c r="N136" s="15"/>
      <c r="O136" s="15"/>
      <c r="P136" s="14"/>
      <c r="Q136" s="13"/>
      <c r="R136" s="13"/>
    </row>
    <row r="137" spans="1:18" x14ac:dyDescent="0.2">
      <c r="A137">
        <v>107133</v>
      </c>
      <c r="B137" s="8" t="s">
        <v>433</v>
      </c>
      <c r="C137" s="8" t="s">
        <v>589</v>
      </c>
      <c r="D137" s="8" t="s">
        <v>590</v>
      </c>
      <c r="E137" s="9">
        <v>11.99</v>
      </c>
      <c r="F137" s="9">
        <v>19.989999999999998</v>
      </c>
      <c r="G137" s="20">
        <f t="shared" si="10"/>
        <v>0.13905109971403748</v>
      </c>
      <c r="H137" s="21">
        <f t="shared" si="11"/>
        <v>7.9999999999999982</v>
      </c>
      <c r="I137" s="21">
        <f t="shared" si="12"/>
        <v>1.5999999999999996</v>
      </c>
      <c r="J137" s="21">
        <f t="shared" si="13"/>
        <v>21.589999999999996</v>
      </c>
      <c r="K137" s="21">
        <f t="shared" si="14"/>
        <v>22</v>
      </c>
      <c r="L137" s="8" t="s">
        <v>591</v>
      </c>
      <c r="M137" s="10" t="s">
        <v>592</v>
      </c>
      <c r="N137" s="11" t="s">
        <v>593</v>
      </c>
      <c r="O137" s="15"/>
      <c r="P137" s="14"/>
      <c r="Q137" s="13"/>
      <c r="R137" s="13"/>
    </row>
    <row r="138" spans="1:18" x14ac:dyDescent="0.2">
      <c r="A138">
        <v>107134</v>
      </c>
      <c r="B138" s="8" t="s">
        <v>433</v>
      </c>
      <c r="C138" s="8" t="s">
        <v>594</v>
      </c>
      <c r="D138" s="8" t="s">
        <v>595</v>
      </c>
      <c r="E138" s="9">
        <v>14.99</v>
      </c>
      <c r="F138" s="9">
        <v>24.99</v>
      </c>
      <c r="G138" s="20">
        <f t="shared" si="10"/>
        <v>0.11121490377618878</v>
      </c>
      <c r="H138" s="21">
        <f t="shared" si="11"/>
        <v>9.9999999999999982</v>
      </c>
      <c r="I138" s="21">
        <f t="shared" si="12"/>
        <v>1.9999999999999998</v>
      </c>
      <c r="J138" s="21">
        <f t="shared" si="13"/>
        <v>26.99</v>
      </c>
      <c r="K138" s="21">
        <f t="shared" si="14"/>
        <v>27</v>
      </c>
      <c r="L138" s="8" t="s">
        <v>596</v>
      </c>
      <c r="M138" s="10" t="s">
        <v>597</v>
      </c>
      <c r="N138" s="11" t="s">
        <v>598</v>
      </c>
      <c r="O138" s="11" t="s">
        <v>599</v>
      </c>
      <c r="P138" s="14"/>
      <c r="Q138" s="13"/>
      <c r="R138" s="13"/>
    </row>
    <row r="139" spans="1:18" x14ac:dyDescent="0.2">
      <c r="A139">
        <v>107135</v>
      </c>
      <c r="B139" s="8" t="s">
        <v>433</v>
      </c>
      <c r="C139" s="8" t="s">
        <v>600</v>
      </c>
      <c r="D139" s="8" t="s">
        <v>64</v>
      </c>
      <c r="E139" s="9">
        <v>8.99</v>
      </c>
      <c r="F139" s="9">
        <v>14.99</v>
      </c>
      <c r="G139" s="20">
        <f t="shared" si="10"/>
        <v>0.18547366311103303</v>
      </c>
      <c r="H139" s="21">
        <f t="shared" si="11"/>
        <v>6</v>
      </c>
      <c r="I139" s="21">
        <f t="shared" si="12"/>
        <v>1.2000000000000002</v>
      </c>
      <c r="J139" s="21">
        <f t="shared" si="13"/>
        <v>16.190000000000001</v>
      </c>
      <c r="K139" s="21">
        <f t="shared" si="14"/>
        <v>17</v>
      </c>
      <c r="L139" s="8" t="s">
        <v>601</v>
      </c>
      <c r="M139" s="10" t="s">
        <v>602</v>
      </c>
      <c r="N139" s="11" t="s">
        <v>603</v>
      </c>
      <c r="O139" s="11" t="s">
        <v>604</v>
      </c>
      <c r="P139" s="14"/>
      <c r="Q139" s="13"/>
      <c r="R139" s="13"/>
    </row>
    <row r="140" spans="1:18" x14ac:dyDescent="0.2">
      <c r="A140">
        <v>107136</v>
      </c>
      <c r="B140" s="8" t="s">
        <v>433</v>
      </c>
      <c r="C140" s="8" t="s">
        <v>605</v>
      </c>
      <c r="D140" s="8" t="s">
        <v>460</v>
      </c>
      <c r="E140" s="9">
        <v>11.39</v>
      </c>
      <c r="F140" s="9">
        <v>18.989999999999998</v>
      </c>
      <c r="G140" s="20">
        <f t="shared" si="10"/>
        <v>0.14637857554144268</v>
      </c>
      <c r="H140" s="21">
        <f t="shared" si="11"/>
        <v>7.5999999999999979</v>
      </c>
      <c r="I140" s="21">
        <f t="shared" si="12"/>
        <v>1.5199999999999996</v>
      </c>
      <c r="J140" s="21">
        <f t="shared" si="13"/>
        <v>20.509999999999998</v>
      </c>
      <c r="K140" s="21">
        <f t="shared" si="14"/>
        <v>21</v>
      </c>
      <c r="L140" s="8" t="s">
        <v>606</v>
      </c>
      <c r="M140" s="10" t="s">
        <v>607</v>
      </c>
      <c r="N140" s="11" t="s">
        <v>608</v>
      </c>
      <c r="O140" s="11" t="s">
        <v>609</v>
      </c>
      <c r="P140" s="14"/>
      <c r="Q140" s="13"/>
      <c r="R140" s="13"/>
    </row>
    <row r="141" spans="1:18" x14ac:dyDescent="0.2">
      <c r="A141">
        <v>107137</v>
      </c>
      <c r="B141" s="8" t="s">
        <v>433</v>
      </c>
      <c r="C141" s="8" t="s">
        <v>610</v>
      </c>
      <c r="D141" s="8" t="s">
        <v>64</v>
      </c>
      <c r="E141" s="9">
        <v>8.99</v>
      </c>
      <c r="F141" s="9">
        <v>14.99</v>
      </c>
      <c r="G141" s="20">
        <f t="shared" si="10"/>
        <v>0.18547366311103303</v>
      </c>
      <c r="H141" s="21">
        <f t="shared" si="11"/>
        <v>6</v>
      </c>
      <c r="I141" s="21">
        <f t="shared" si="12"/>
        <v>1.2000000000000002</v>
      </c>
      <c r="J141" s="21">
        <f t="shared" si="13"/>
        <v>16.190000000000001</v>
      </c>
      <c r="K141" s="21">
        <f t="shared" si="14"/>
        <v>17</v>
      </c>
      <c r="L141" s="8" t="s">
        <v>611</v>
      </c>
      <c r="M141" s="10" t="s">
        <v>612</v>
      </c>
      <c r="N141" s="11" t="s">
        <v>613</v>
      </c>
      <c r="O141" s="11" t="s">
        <v>614</v>
      </c>
      <c r="P141" s="14"/>
      <c r="Q141" s="13"/>
      <c r="R141" s="13"/>
    </row>
    <row r="142" spans="1:18" x14ac:dyDescent="0.2">
      <c r="A142">
        <v>107138</v>
      </c>
      <c r="B142" s="8" t="s">
        <v>433</v>
      </c>
      <c r="C142" s="8" t="s">
        <v>615</v>
      </c>
      <c r="D142" s="8" t="s">
        <v>616</v>
      </c>
      <c r="E142" s="19">
        <v>6.59</v>
      </c>
      <c r="F142" s="19">
        <v>10.99</v>
      </c>
      <c r="G142" s="20">
        <f t="shared" si="10"/>
        <v>0.25306195758046063</v>
      </c>
      <c r="H142" s="21">
        <f t="shared" si="11"/>
        <v>4.4000000000000004</v>
      </c>
      <c r="I142" s="21">
        <f t="shared" si="12"/>
        <v>0.88000000000000012</v>
      </c>
      <c r="J142" s="21">
        <f t="shared" si="13"/>
        <v>11.870000000000001</v>
      </c>
      <c r="K142" s="21">
        <f t="shared" si="14"/>
        <v>12</v>
      </c>
      <c r="L142" s="8" t="s">
        <v>617</v>
      </c>
      <c r="M142" s="10" t="s">
        <v>618</v>
      </c>
      <c r="N142" s="11" t="s">
        <v>619</v>
      </c>
      <c r="O142" s="15"/>
      <c r="P142" s="14"/>
      <c r="Q142" s="13"/>
      <c r="R142" s="13"/>
    </row>
    <row r="143" spans="1:18" x14ac:dyDescent="0.2">
      <c r="A143">
        <v>107139</v>
      </c>
      <c r="B143" s="8" t="s">
        <v>433</v>
      </c>
      <c r="C143" s="8" t="s">
        <v>620</v>
      </c>
      <c r="D143" s="8" t="s">
        <v>621</v>
      </c>
      <c r="E143" s="9">
        <v>10.74</v>
      </c>
      <c r="F143" s="9">
        <v>2.99</v>
      </c>
      <c r="G143" s="20">
        <f t="shared" si="10"/>
        <v>2.5921648998331999E-2</v>
      </c>
      <c r="H143" s="21">
        <f t="shared" si="11"/>
        <v>-7.75</v>
      </c>
      <c r="I143" s="21">
        <f t="shared" si="12"/>
        <v>-1.55</v>
      </c>
      <c r="J143" s="21">
        <f t="shared" si="13"/>
        <v>1.4400000000000002</v>
      </c>
      <c r="K143" s="21">
        <f t="shared" si="14"/>
        <v>2</v>
      </c>
      <c r="L143" s="8" t="s">
        <v>622</v>
      </c>
      <c r="M143" s="10" t="s">
        <v>623</v>
      </c>
      <c r="N143" s="11" t="s">
        <v>624</v>
      </c>
      <c r="O143" s="11" t="s">
        <v>625</v>
      </c>
      <c r="P143" s="14"/>
      <c r="Q143" s="13"/>
      <c r="R143" s="13"/>
    </row>
    <row r="144" spans="1:18" x14ac:dyDescent="0.2">
      <c r="A144">
        <v>107140</v>
      </c>
      <c r="B144" s="8" t="s">
        <v>433</v>
      </c>
      <c r="C144" s="8" t="s">
        <v>626</v>
      </c>
      <c r="D144" s="8" t="s">
        <v>616</v>
      </c>
      <c r="E144" s="19">
        <v>6.59</v>
      </c>
      <c r="F144" s="19">
        <v>10.99</v>
      </c>
      <c r="G144" s="20">
        <f t="shared" si="10"/>
        <v>0.25306195758046063</v>
      </c>
      <c r="H144" s="21">
        <f t="shared" si="11"/>
        <v>4.4000000000000004</v>
      </c>
      <c r="I144" s="21">
        <f t="shared" si="12"/>
        <v>0.88000000000000012</v>
      </c>
      <c r="J144" s="21">
        <f t="shared" si="13"/>
        <v>11.870000000000001</v>
      </c>
      <c r="K144" s="21">
        <f t="shared" si="14"/>
        <v>12</v>
      </c>
      <c r="L144" s="8" t="s">
        <v>627</v>
      </c>
      <c r="M144" s="10" t="s">
        <v>628</v>
      </c>
      <c r="N144" s="11" t="s">
        <v>629</v>
      </c>
      <c r="O144" s="15"/>
      <c r="P144" s="14"/>
      <c r="Q144" s="13"/>
      <c r="R144" s="13"/>
    </row>
    <row r="145" spans="1:18" x14ac:dyDescent="0.2">
      <c r="A145">
        <v>107141</v>
      </c>
      <c r="B145" s="8" t="s">
        <v>433</v>
      </c>
      <c r="C145" s="8" t="s">
        <v>630</v>
      </c>
      <c r="D145" s="8" t="s">
        <v>621</v>
      </c>
      <c r="E145" s="9">
        <v>10.74</v>
      </c>
      <c r="F145" s="9">
        <v>2.99</v>
      </c>
      <c r="G145" s="20">
        <f t="shared" si="10"/>
        <v>2.5921648998331999E-2</v>
      </c>
      <c r="H145" s="21">
        <f t="shared" si="11"/>
        <v>-7.75</v>
      </c>
      <c r="I145" s="21">
        <f t="shared" si="12"/>
        <v>-1.55</v>
      </c>
      <c r="J145" s="21">
        <f t="shared" si="13"/>
        <v>1.4400000000000002</v>
      </c>
      <c r="K145" s="21">
        <f t="shared" si="14"/>
        <v>2</v>
      </c>
      <c r="L145" s="8" t="s">
        <v>631</v>
      </c>
      <c r="M145" s="10" t="s">
        <v>632</v>
      </c>
      <c r="N145" s="11" t="s">
        <v>633</v>
      </c>
      <c r="O145" s="15"/>
      <c r="P145" s="14"/>
      <c r="Q145" s="13"/>
      <c r="R145" s="13"/>
    </row>
    <row r="146" spans="1:18" x14ac:dyDescent="0.2">
      <c r="A146">
        <v>107142</v>
      </c>
      <c r="B146" s="8" t="s">
        <v>433</v>
      </c>
      <c r="C146" s="8" t="s">
        <v>634</v>
      </c>
      <c r="D146" s="8" t="s">
        <v>106</v>
      </c>
      <c r="E146" s="9">
        <v>6.59</v>
      </c>
      <c r="F146" s="9">
        <v>10.99</v>
      </c>
      <c r="G146" s="20">
        <f t="shared" si="10"/>
        <v>0.25306195758046063</v>
      </c>
      <c r="H146" s="21">
        <f t="shared" si="11"/>
        <v>4.4000000000000004</v>
      </c>
      <c r="I146" s="21">
        <f t="shared" si="12"/>
        <v>0.88000000000000012</v>
      </c>
      <c r="J146" s="21">
        <f t="shared" si="13"/>
        <v>11.870000000000001</v>
      </c>
      <c r="K146" s="21">
        <f t="shared" si="14"/>
        <v>12</v>
      </c>
      <c r="L146" s="8" t="s">
        <v>635</v>
      </c>
      <c r="M146" s="10" t="s">
        <v>636</v>
      </c>
      <c r="N146" s="11" t="s">
        <v>637</v>
      </c>
      <c r="O146" s="15"/>
      <c r="P146" s="14"/>
      <c r="Q146" s="13"/>
      <c r="R146" s="13"/>
    </row>
    <row r="147" spans="1:18" x14ac:dyDescent="0.2">
      <c r="A147">
        <v>107143</v>
      </c>
      <c r="B147" s="8" t="s">
        <v>433</v>
      </c>
      <c r="C147" s="8" t="s">
        <v>638</v>
      </c>
      <c r="D147" s="8" t="s">
        <v>616</v>
      </c>
      <c r="E147" s="19">
        <v>6.59</v>
      </c>
      <c r="F147" s="19">
        <v>10.99</v>
      </c>
      <c r="G147" s="20">
        <f t="shared" si="10"/>
        <v>0.25306195758046063</v>
      </c>
      <c r="H147" s="21">
        <f t="shared" si="11"/>
        <v>4.4000000000000004</v>
      </c>
      <c r="I147" s="21">
        <f t="shared" si="12"/>
        <v>0.88000000000000012</v>
      </c>
      <c r="J147" s="21">
        <f t="shared" si="13"/>
        <v>11.870000000000001</v>
      </c>
      <c r="K147" s="21">
        <f t="shared" si="14"/>
        <v>12</v>
      </c>
      <c r="L147" s="8" t="s">
        <v>639</v>
      </c>
      <c r="M147" s="10" t="s">
        <v>640</v>
      </c>
      <c r="N147" s="11" t="s">
        <v>641</v>
      </c>
      <c r="O147" s="15"/>
      <c r="P147" s="14"/>
      <c r="Q147" s="13"/>
      <c r="R147" s="13"/>
    </row>
    <row r="148" spans="1:18" x14ac:dyDescent="0.2">
      <c r="A148">
        <v>107144</v>
      </c>
      <c r="B148" s="8" t="s">
        <v>433</v>
      </c>
      <c r="C148" s="8" t="s">
        <v>642</v>
      </c>
      <c r="D148" s="8" t="s">
        <v>616</v>
      </c>
      <c r="E148" s="19">
        <v>6.59</v>
      </c>
      <c r="F148" s="19">
        <v>10.99</v>
      </c>
      <c r="G148" s="20">
        <f t="shared" si="10"/>
        <v>0.25306195758046063</v>
      </c>
      <c r="H148" s="21">
        <f t="shared" si="11"/>
        <v>4.4000000000000004</v>
      </c>
      <c r="I148" s="21">
        <f t="shared" si="12"/>
        <v>0.88000000000000012</v>
      </c>
      <c r="J148" s="21">
        <f t="shared" si="13"/>
        <v>11.870000000000001</v>
      </c>
      <c r="K148" s="21">
        <f t="shared" si="14"/>
        <v>12</v>
      </c>
      <c r="L148" s="8" t="s">
        <v>643</v>
      </c>
      <c r="M148" s="10" t="s">
        <v>644</v>
      </c>
      <c r="N148" s="11" t="s">
        <v>645</v>
      </c>
      <c r="O148" s="15"/>
      <c r="P148" s="14"/>
      <c r="Q148" s="13"/>
      <c r="R148" s="13"/>
    </row>
    <row r="149" spans="1:18" x14ac:dyDescent="0.2">
      <c r="A149">
        <v>107145</v>
      </c>
      <c r="B149" s="8" t="s">
        <v>433</v>
      </c>
      <c r="C149" s="8" t="s">
        <v>646</v>
      </c>
      <c r="D149" s="8" t="s">
        <v>616</v>
      </c>
      <c r="E149" s="19">
        <v>6.59</v>
      </c>
      <c r="F149" s="19">
        <v>10.99</v>
      </c>
      <c r="G149" s="20">
        <f t="shared" si="10"/>
        <v>0.25306195758046063</v>
      </c>
      <c r="H149" s="21">
        <f t="shared" si="11"/>
        <v>4.4000000000000004</v>
      </c>
      <c r="I149" s="21">
        <f t="shared" si="12"/>
        <v>0.88000000000000012</v>
      </c>
      <c r="J149" s="21">
        <f t="shared" si="13"/>
        <v>11.870000000000001</v>
      </c>
      <c r="K149" s="21">
        <f t="shared" si="14"/>
        <v>12</v>
      </c>
      <c r="L149" s="8" t="s">
        <v>647</v>
      </c>
      <c r="M149" s="10" t="s">
        <v>648</v>
      </c>
      <c r="N149" s="11" t="s">
        <v>649</v>
      </c>
      <c r="O149" s="15"/>
      <c r="P149" s="14"/>
      <c r="Q149" s="13"/>
      <c r="R149" s="13"/>
    </row>
    <row r="150" spans="1:18" x14ac:dyDescent="0.2">
      <c r="A150">
        <v>107146</v>
      </c>
      <c r="B150" s="8" t="s">
        <v>433</v>
      </c>
      <c r="C150" s="8" t="s">
        <v>650</v>
      </c>
      <c r="D150" s="8" t="s">
        <v>460</v>
      </c>
      <c r="E150" s="9">
        <v>11.39</v>
      </c>
      <c r="F150" s="9">
        <v>18.989999999999998</v>
      </c>
      <c r="G150" s="20">
        <f t="shared" si="10"/>
        <v>0.14637857554144268</v>
      </c>
      <c r="H150" s="21">
        <f t="shared" si="11"/>
        <v>7.5999999999999979</v>
      </c>
      <c r="I150" s="21">
        <f t="shared" si="12"/>
        <v>1.5199999999999996</v>
      </c>
      <c r="J150" s="21">
        <f t="shared" si="13"/>
        <v>20.509999999999998</v>
      </c>
      <c r="K150" s="21">
        <f t="shared" si="14"/>
        <v>21</v>
      </c>
      <c r="L150" s="8" t="s">
        <v>651</v>
      </c>
      <c r="M150" s="10" t="s">
        <v>652</v>
      </c>
      <c r="N150" s="11" t="s">
        <v>653</v>
      </c>
      <c r="O150" s="11" t="s">
        <v>654</v>
      </c>
      <c r="P150" s="12" t="s">
        <v>655</v>
      </c>
      <c r="Q150" s="13"/>
      <c r="R150" s="13"/>
    </row>
    <row r="151" spans="1:18" x14ac:dyDescent="0.2">
      <c r="A151">
        <v>107147</v>
      </c>
      <c r="B151" s="8" t="s">
        <v>433</v>
      </c>
      <c r="C151" s="8" t="s">
        <v>656</v>
      </c>
      <c r="D151" s="8" t="s">
        <v>81</v>
      </c>
      <c r="E151" s="9">
        <v>9.59</v>
      </c>
      <c r="F151" s="9">
        <v>15.99</v>
      </c>
      <c r="G151" s="20">
        <f t="shared" si="10"/>
        <v>0.17386463349791939</v>
      </c>
      <c r="H151" s="21">
        <f t="shared" si="11"/>
        <v>6.4</v>
      </c>
      <c r="I151" s="21">
        <f t="shared" si="12"/>
        <v>1.2800000000000002</v>
      </c>
      <c r="J151" s="21">
        <f t="shared" si="13"/>
        <v>17.27</v>
      </c>
      <c r="K151" s="21">
        <f t="shared" si="14"/>
        <v>18</v>
      </c>
      <c r="L151" s="8" t="s">
        <v>657</v>
      </c>
      <c r="M151" s="10" t="s">
        <v>658</v>
      </c>
      <c r="N151" s="11" t="s">
        <v>659</v>
      </c>
      <c r="O151" s="11" t="s">
        <v>660</v>
      </c>
      <c r="P151" s="14"/>
      <c r="Q151" s="13"/>
      <c r="R151" s="13"/>
    </row>
    <row r="152" spans="1:18" x14ac:dyDescent="0.2">
      <c r="A152">
        <v>107148</v>
      </c>
      <c r="B152" s="8" t="s">
        <v>433</v>
      </c>
      <c r="C152" s="8" t="s">
        <v>661</v>
      </c>
      <c r="D152" s="8" t="s">
        <v>64</v>
      </c>
      <c r="E152" s="9">
        <v>9.59</v>
      </c>
      <c r="F152" s="9">
        <v>15.99</v>
      </c>
      <c r="G152" s="20">
        <f t="shared" si="10"/>
        <v>0.17386463349791939</v>
      </c>
      <c r="H152" s="21">
        <f t="shared" si="11"/>
        <v>6.4</v>
      </c>
      <c r="I152" s="21">
        <f t="shared" si="12"/>
        <v>1.2800000000000002</v>
      </c>
      <c r="J152" s="21">
        <f t="shared" si="13"/>
        <v>17.27</v>
      </c>
      <c r="K152" s="21">
        <f t="shared" si="14"/>
        <v>18</v>
      </c>
      <c r="L152" s="8" t="s">
        <v>662</v>
      </c>
      <c r="M152" s="10" t="s">
        <v>663</v>
      </c>
      <c r="N152" s="11" t="s">
        <v>664</v>
      </c>
      <c r="O152" s="15"/>
      <c r="P152" s="14"/>
      <c r="Q152" s="13"/>
      <c r="R152" s="13"/>
    </row>
    <row r="153" spans="1:18" x14ac:dyDescent="0.2">
      <c r="A153">
        <v>107149</v>
      </c>
      <c r="B153" s="8" t="s">
        <v>433</v>
      </c>
      <c r="C153" s="8" t="s">
        <v>665</v>
      </c>
      <c r="D153" s="8" t="s">
        <v>510</v>
      </c>
      <c r="E153" s="9">
        <v>12.59</v>
      </c>
      <c r="F153" s="9">
        <v>20.99</v>
      </c>
      <c r="G153" s="20">
        <f t="shared" si="10"/>
        <v>0.13242225476174405</v>
      </c>
      <c r="H153" s="21">
        <f t="shared" si="11"/>
        <v>8.3999999999999986</v>
      </c>
      <c r="I153" s="21">
        <f t="shared" si="12"/>
        <v>1.6799999999999997</v>
      </c>
      <c r="J153" s="21">
        <f t="shared" si="13"/>
        <v>22.669999999999998</v>
      </c>
      <c r="K153" s="21">
        <f t="shared" si="14"/>
        <v>23</v>
      </c>
      <c r="L153" s="8" t="s">
        <v>666</v>
      </c>
      <c r="M153" s="10" t="s">
        <v>667</v>
      </c>
      <c r="N153" s="11" t="s">
        <v>668</v>
      </c>
      <c r="O153" s="15"/>
      <c r="P153" s="14"/>
      <c r="Q153" s="13"/>
      <c r="R153" s="13"/>
    </row>
    <row r="154" spans="1:18" x14ac:dyDescent="0.2">
      <c r="A154">
        <v>107150</v>
      </c>
      <c r="B154" s="8" t="s">
        <v>433</v>
      </c>
      <c r="C154" s="8" t="s">
        <v>669</v>
      </c>
      <c r="D154" s="8" t="s">
        <v>445</v>
      </c>
      <c r="E154" s="9">
        <v>17.989999999999998</v>
      </c>
      <c r="F154" s="9">
        <v>29.99</v>
      </c>
      <c r="G154" s="20">
        <f t="shared" si="10"/>
        <v>9.2664660528778739E-2</v>
      </c>
      <c r="H154" s="21">
        <f t="shared" si="11"/>
        <v>12</v>
      </c>
      <c r="I154" s="21">
        <f t="shared" si="12"/>
        <v>2.4000000000000004</v>
      </c>
      <c r="J154" s="21">
        <f t="shared" si="13"/>
        <v>32.39</v>
      </c>
      <c r="K154" s="21">
        <f t="shared" si="14"/>
        <v>33</v>
      </c>
      <c r="L154" s="8" t="s">
        <v>670</v>
      </c>
      <c r="M154" s="10" t="s">
        <v>671</v>
      </c>
      <c r="N154" s="11" t="s">
        <v>672</v>
      </c>
      <c r="O154" s="11" t="s">
        <v>673</v>
      </c>
      <c r="P154" s="12" t="s">
        <v>674</v>
      </c>
      <c r="Q154" s="13"/>
      <c r="R154" s="13"/>
    </row>
    <row r="155" spans="1:18" x14ac:dyDescent="0.2">
      <c r="A155">
        <v>107151</v>
      </c>
      <c r="B155" s="8" t="s">
        <v>433</v>
      </c>
      <c r="C155" s="8" t="s">
        <v>675</v>
      </c>
      <c r="D155" s="8" t="s">
        <v>349</v>
      </c>
      <c r="E155" s="9">
        <v>17.989999999999998</v>
      </c>
      <c r="F155" s="9">
        <v>29.99</v>
      </c>
      <c r="G155" s="20">
        <f t="shared" si="10"/>
        <v>9.2664660528778739E-2</v>
      </c>
      <c r="H155" s="21">
        <f t="shared" si="11"/>
        <v>12</v>
      </c>
      <c r="I155" s="21">
        <f t="shared" si="12"/>
        <v>2.4000000000000004</v>
      </c>
      <c r="J155" s="21">
        <f t="shared" si="13"/>
        <v>32.39</v>
      </c>
      <c r="K155" s="21">
        <f t="shared" si="14"/>
        <v>33</v>
      </c>
      <c r="L155" s="8" t="s">
        <v>676</v>
      </c>
      <c r="M155" s="10" t="s">
        <v>677</v>
      </c>
      <c r="N155" s="11" t="s">
        <v>678</v>
      </c>
      <c r="O155" s="11" t="s">
        <v>679</v>
      </c>
      <c r="P155" s="14"/>
      <c r="Q155" s="13"/>
      <c r="R155" s="13"/>
    </row>
    <row r="156" spans="1:18" x14ac:dyDescent="0.2">
      <c r="A156">
        <v>107152</v>
      </c>
      <c r="B156" s="8" t="s">
        <v>433</v>
      </c>
      <c r="C156" s="8" t="s">
        <v>680</v>
      </c>
      <c r="D156" s="8" t="s">
        <v>64</v>
      </c>
      <c r="E156" s="9">
        <v>8.99</v>
      </c>
      <c r="F156" s="9">
        <v>14.99</v>
      </c>
      <c r="G156" s="20">
        <f t="shared" si="10"/>
        <v>0.18547366311103303</v>
      </c>
      <c r="H156" s="21">
        <f t="shared" si="11"/>
        <v>6</v>
      </c>
      <c r="I156" s="21">
        <f t="shared" si="12"/>
        <v>1.2000000000000002</v>
      </c>
      <c r="J156" s="21">
        <f t="shared" si="13"/>
        <v>16.190000000000001</v>
      </c>
      <c r="K156" s="21">
        <f t="shared" si="14"/>
        <v>17</v>
      </c>
      <c r="L156" s="8" t="s">
        <v>681</v>
      </c>
      <c r="M156" s="10" t="s">
        <v>682</v>
      </c>
      <c r="N156" s="11" t="s">
        <v>683</v>
      </c>
      <c r="O156" s="11" t="s">
        <v>684</v>
      </c>
      <c r="P156" s="14"/>
      <c r="Q156" s="13"/>
      <c r="R156" s="13"/>
    </row>
    <row r="157" spans="1:18" x14ac:dyDescent="0.2">
      <c r="A157">
        <v>107153</v>
      </c>
      <c r="B157" s="8" t="s">
        <v>433</v>
      </c>
      <c r="C157" s="8" t="s">
        <v>685</v>
      </c>
      <c r="D157" s="8" t="s">
        <v>445</v>
      </c>
      <c r="E157" s="9">
        <v>10.79</v>
      </c>
      <c r="F157" s="9">
        <v>17.989999999999998</v>
      </c>
      <c r="G157" s="20">
        <f t="shared" si="10"/>
        <v>0.15452127179853656</v>
      </c>
      <c r="H157" s="21">
        <f t="shared" si="11"/>
        <v>7.1999999999999993</v>
      </c>
      <c r="I157" s="21">
        <f t="shared" si="12"/>
        <v>1.44</v>
      </c>
      <c r="J157" s="21">
        <f t="shared" si="13"/>
        <v>19.43</v>
      </c>
      <c r="K157" s="21">
        <f t="shared" si="14"/>
        <v>20</v>
      </c>
      <c r="L157" s="8" t="s">
        <v>686</v>
      </c>
      <c r="M157" s="10" t="s">
        <v>687</v>
      </c>
      <c r="N157" s="11" t="s">
        <v>688</v>
      </c>
      <c r="O157" s="11" t="s">
        <v>689</v>
      </c>
      <c r="P157" s="14"/>
      <c r="Q157" s="13"/>
      <c r="R157" s="13"/>
    </row>
    <row r="158" spans="1:18" x14ac:dyDescent="0.2">
      <c r="A158">
        <v>107154</v>
      </c>
      <c r="B158" s="8" t="s">
        <v>433</v>
      </c>
      <c r="C158" s="8" t="s">
        <v>690</v>
      </c>
      <c r="D158" s="8" t="s">
        <v>691</v>
      </c>
      <c r="E158" s="9">
        <v>5.99</v>
      </c>
      <c r="F158" s="9">
        <v>9.99</v>
      </c>
      <c r="G158" s="20">
        <f t="shared" si="10"/>
        <v>0.27842731764961637</v>
      </c>
      <c r="H158" s="21">
        <f t="shared" si="11"/>
        <v>4</v>
      </c>
      <c r="I158" s="21">
        <f t="shared" si="12"/>
        <v>0.8</v>
      </c>
      <c r="J158" s="21">
        <f t="shared" si="13"/>
        <v>10.790000000000001</v>
      </c>
      <c r="K158" s="21">
        <f t="shared" si="14"/>
        <v>11</v>
      </c>
      <c r="L158" s="8" t="s">
        <v>692</v>
      </c>
      <c r="M158" s="10" t="s">
        <v>693</v>
      </c>
      <c r="N158" s="11" t="s">
        <v>694</v>
      </c>
      <c r="O158" s="15"/>
      <c r="P158" s="14"/>
      <c r="Q158" s="13"/>
      <c r="R158" s="13"/>
    </row>
    <row r="159" spans="1:18" x14ac:dyDescent="0.2">
      <c r="A159">
        <v>107155</v>
      </c>
      <c r="B159" s="8" t="s">
        <v>433</v>
      </c>
      <c r="C159" s="8" t="s">
        <v>695</v>
      </c>
      <c r="D159" s="8" t="s">
        <v>691</v>
      </c>
      <c r="E159" s="9">
        <v>5.99</v>
      </c>
      <c r="F159" s="9">
        <v>9.99</v>
      </c>
      <c r="G159" s="20">
        <f t="shared" si="10"/>
        <v>0.27842731764961637</v>
      </c>
      <c r="H159" s="21">
        <f t="shared" si="11"/>
        <v>4</v>
      </c>
      <c r="I159" s="21">
        <f t="shared" si="12"/>
        <v>0.8</v>
      </c>
      <c r="J159" s="21">
        <f t="shared" si="13"/>
        <v>10.790000000000001</v>
      </c>
      <c r="K159" s="21">
        <f t="shared" si="14"/>
        <v>11</v>
      </c>
      <c r="L159" s="8" t="s">
        <v>696</v>
      </c>
      <c r="M159" s="10" t="s">
        <v>697</v>
      </c>
      <c r="N159" s="11" t="s">
        <v>698</v>
      </c>
      <c r="O159" s="15"/>
      <c r="P159" s="14"/>
      <c r="Q159" s="13"/>
      <c r="R159" s="13"/>
    </row>
    <row r="160" spans="1:18" x14ac:dyDescent="0.2">
      <c r="A160">
        <v>107156</v>
      </c>
      <c r="B160" s="8" t="s">
        <v>433</v>
      </c>
      <c r="C160" s="8" t="s">
        <v>699</v>
      </c>
      <c r="D160" s="8" t="s">
        <v>70</v>
      </c>
      <c r="E160" s="9">
        <v>6.59</v>
      </c>
      <c r="F160" s="9">
        <v>10.99</v>
      </c>
      <c r="G160" s="20">
        <f t="shared" si="10"/>
        <v>0.25306195758046063</v>
      </c>
      <c r="H160" s="21">
        <f t="shared" si="11"/>
        <v>4.4000000000000004</v>
      </c>
      <c r="I160" s="21">
        <f t="shared" si="12"/>
        <v>0.88000000000000012</v>
      </c>
      <c r="J160" s="21">
        <f t="shared" si="13"/>
        <v>11.870000000000001</v>
      </c>
      <c r="K160" s="21">
        <f t="shared" si="14"/>
        <v>12</v>
      </c>
      <c r="L160" s="8" t="s">
        <v>700</v>
      </c>
      <c r="M160" s="10" t="s">
        <v>701</v>
      </c>
      <c r="N160" s="11" t="s">
        <v>702</v>
      </c>
      <c r="O160" s="15"/>
      <c r="P160" s="14"/>
      <c r="Q160" s="13"/>
      <c r="R160" s="13"/>
    </row>
    <row r="161" spans="1:18" x14ac:dyDescent="0.2">
      <c r="A161">
        <v>107157</v>
      </c>
      <c r="B161" s="8" t="s">
        <v>433</v>
      </c>
      <c r="C161" s="8" t="s">
        <v>703</v>
      </c>
      <c r="D161" s="8" t="s">
        <v>70</v>
      </c>
      <c r="E161" s="9">
        <v>6.59</v>
      </c>
      <c r="F161" s="9">
        <v>10.99</v>
      </c>
      <c r="G161" s="20">
        <f t="shared" si="10"/>
        <v>0.25306195758046063</v>
      </c>
      <c r="H161" s="21">
        <f t="shared" si="11"/>
        <v>4.4000000000000004</v>
      </c>
      <c r="I161" s="21">
        <f t="shared" si="12"/>
        <v>0.88000000000000012</v>
      </c>
      <c r="J161" s="21">
        <f t="shared" si="13"/>
        <v>11.870000000000001</v>
      </c>
      <c r="K161" s="21">
        <f t="shared" si="14"/>
        <v>12</v>
      </c>
      <c r="L161" s="8" t="s">
        <v>704</v>
      </c>
      <c r="M161" s="10" t="s">
        <v>705</v>
      </c>
      <c r="N161" s="11" t="s">
        <v>706</v>
      </c>
      <c r="O161" s="11" t="s">
        <v>707</v>
      </c>
      <c r="P161" s="14"/>
      <c r="Q161" s="13"/>
      <c r="R161" s="13"/>
    </row>
    <row r="162" spans="1:18" x14ac:dyDescent="0.2">
      <c r="A162">
        <v>107158</v>
      </c>
      <c r="B162" s="8" t="s">
        <v>433</v>
      </c>
      <c r="C162" s="8" t="s">
        <v>708</v>
      </c>
      <c r="D162" s="8" t="s">
        <v>70</v>
      </c>
      <c r="E162" s="9">
        <v>6.59</v>
      </c>
      <c r="F162" s="9">
        <v>10.99</v>
      </c>
      <c r="G162" s="20">
        <f t="shared" si="10"/>
        <v>0.25306195758046063</v>
      </c>
      <c r="H162" s="21">
        <f t="shared" si="11"/>
        <v>4.4000000000000004</v>
      </c>
      <c r="I162" s="21">
        <f t="shared" si="12"/>
        <v>0.88000000000000012</v>
      </c>
      <c r="J162" s="21">
        <f t="shared" si="13"/>
        <v>11.870000000000001</v>
      </c>
      <c r="K162" s="21">
        <f t="shared" si="14"/>
        <v>12</v>
      </c>
      <c r="L162" s="8" t="s">
        <v>709</v>
      </c>
      <c r="M162" s="10" t="s">
        <v>710</v>
      </c>
      <c r="N162" s="11" t="s">
        <v>711</v>
      </c>
      <c r="O162" s="15"/>
      <c r="P162" s="14"/>
      <c r="Q162" s="13"/>
      <c r="R162" s="13"/>
    </row>
    <row r="163" spans="1:18" x14ac:dyDescent="0.2">
      <c r="A163">
        <v>107159</v>
      </c>
      <c r="B163" s="8" t="s">
        <v>433</v>
      </c>
      <c r="C163" s="8" t="s">
        <v>712</v>
      </c>
      <c r="D163" s="8" t="s">
        <v>70</v>
      </c>
      <c r="E163" s="9">
        <v>7.79</v>
      </c>
      <c r="F163" s="9">
        <v>12.99</v>
      </c>
      <c r="G163" s="20">
        <f t="shared" si="10"/>
        <v>0.21405936645678195</v>
      </c>
      <c r="H163" s="21">
        <f t="shared" si="11"/>
        <v>5.2</v>
      </c>
      <c r="I163" s="21">
        <f t="shared" si="12"/>
        <v>1.04</v>
      </c>
      <c r="J163" s="21">
        <f t="shared" si="13"/>
        <v>14.030000000000001</v>
      </c>
      <c r="K163" s="21">
        <f t="shared" si="14"/>
        <v>15</v>
      </c>
      <c r="L163" s="8" t="s">
        <v>713</v>
      </c>
      <c r="M163" s="10" t="s">
        <v>714</v>
      </c>
      <c r="N163" s="11" t="s">
        <v>715</v>
      </c>
      <c r="O163" s="15"/>
      <c r="P163" s="14"/>
      <c r="Q163" s="13"/>
      <c r="R163" s="13"/>
    </row>
    <row r="164" spans="1:18" x14ac:dyDescent="0.2">
      <c r="A164">
        <v>107160</v>
      </c>
      <c r="B164" s="8" t="s">
        <v>433</v>
      </c>
      <c r="C164" s="8" t="s">
        <v>716</v>
      </c>
      <c r="D164" s="8" t="s">
        <v>70</v>
      </c>
      <c r="E164" s="9">
        <v>7.79</v>
      </c>
      <c r="F164" s="9">
        <v>12.99</v>
      </c>
      <c r="G164" s="20">
        <f t="shared" si="10"/>
        <v>0.21405936645678195</v>
      </c>
      <c r="H164" s="21">
        <f t="shared" si="11"/>
        <v>5.2</v>
      </c>
      <c r="I164" s="21">
        <f t="shared" si="12"/>
        <v>1.04</v>
      </c>
      <c r="J164" s="21">
        <f t="shared" si="13"/>
        <v>14.030000000000001</v>
      </c>
      <c r="K164" s="21">
        <f t="shared" si="14"/>
        <v>15</v>
      </c>
      <c r="L164" s="8" t="s">
        <v>717</v>
      </c>
      <c r="M164" s="10" t="s">
        <v>718</v>
      </c>
      <c r="N164" s="11" t="s">
        <v>719</v>
      </c>
      <c r="O164" s="15"/>
      <c r="P164" s="14"/>
      <c r="Q164" s="13"/>
      <c r="R164" s="13"/>
    </row>
    <row r="165" spans="1:18" x14ac:dyDescent="0.2">
      <c r="A165">
        <v>107161</v>
      </c>
      <c r="B165" s="8" t="s">
        <v>433</v>
      </c>
      <c r="C165" s="8" t="s">
        <v>720</v>
      </c>
      <c r="D165" s="8" t="s">
        <v>70</v>
      </c>
      <c r="E165" s="9">
        <v>6.59</v>
      </c>
      <c r="F165" s="9">
        <v>10.99</v>
      </c>
      <c r="G165" s="20">
        <f t="shared" si="10"/>
        <v>0.25306195758046063</v>
      </c>
      <c r="H165" s="21">
        <f t="shared" si="11"/>
        <v>4.4000000000000004</v>
      </c>
      <c r="I165" s="21">
        <f t="shared" si="12"/>
        <v>0.88000000000000012</v>
      </c>
      <c r="J165" s="21">
        <f t="shared" si="13"/>
        <v>11.870000000000001</v>
      </c>
      <c r="K165" s="21">
        <f t="shared" si="14"/>
        <v>12</v>
      </c>
      <c r="L165" s="8" t="s">
        <v>721</v>
      </c>
      <c r="M165" s="10" t="s">
        <v>722</v>
      </c>
      <c r="N165" s="11" t="s">
        <v>723</v>
      </c>
      <c r="O165" s="15"/>
      <c r="P165" s="14"/>
      <c r="Q165" s="13"/>
      <c r="R165" s="13"/>
    </row>
    <row r="166" spans="1:18" x14ac:dyDescent="0.2">
      <c r="A166">
        <v>107162</v>
      </c>
      <c r="B166" s="8" t="s">
        <v>433</v>
      </c>
      <c r="C166" s="8" t="s">
        <v>724</v>
      </c>
      <c r="D166" s="8" t="s">
        <v>156</v>
      </c>
      <c r="E166" s="9">
        <v>11.39</v>
      </c>
      <c r="F166" s="9">
        <v>18.989999999999998</v>
      </c>
      <c r="G166" s="20">
        <f t="shared" si="10"/>
        <v>0.14637857554144268</v>
      </c>
      <c r="H166" s="21">
        <f t="shared" si="11"/>
        <v>7.5999999999999979</v>
      </c>
      <c r="I166" s="21">
        <f t="shared" si="12"/>
        <v>1.5199999999999996</v>
      </c>
      <c r="J166" s="21">
        <f t="shared" si="13"/>
        <v>20.509999999999998</v>
      </c>
      <c r="K166" s="21">
        <f t="shared" si="14"/>
        <v>21</v>
      </c>
      <c r="L166" s="8" t="s">
        <v>725</v>
      </c>
      <c r="M166" s="10" t="s">
        <v>726</v>
      </c>
      <c r="N166" s="11" t="s">
        <v>727</v>
      </c>
      <c r="O166" s="11" t="s">
        <v>728</v>
      </c>
      <c r="P166" s="14"/>
      <c r="Q166" s="13"/>
      <c r="R166" s="13"/>
    </row>
    <row r="167" spans="1:18" x14ac:dyDescent="0.2">
      <c r="A167">
        <v>107163</v>
      </c>
      <c r="B167" s="8" t="s">
        <v>433</v>
      </c>
      <c r="C167" s="8" t="s">
        <v>724</v>
      </c>
      <c r="D167" s="8" t="s">
        <v>70</v>
      </c>
      <c r="E167" s="9">
        <v>6.59</v>
      </c>
      <c r="F167" s="9">
        <v>10.99</v>
      </c>
      <c r="G167" s="20">
        <f t="shared" si="10"/>
        <v>0.25306195758046063</v>
      </c>
      <c r="H167" s="21">
        <f t="shared" si="11"/>
        <v>4.4000000000000004</v>
      </c>
      <c r="I167" s="21">
        <f t="shared" si="12"/>
        <v>0.88000000000000012</v>
      </c>
      <c r="J167" s="21">
        <f t="shared" si="13"/>
        <v>11.870000000000001</v>
      </c>
      <c r="K167" s="21">
        <f t="shared" si="14"/>
        <v>12</v>
      </c>
      <c r="L167" s="8" t="s">
        <v>729</v>
      </c>
      <c r="M167" s="10" t="s">
        <v>730</v>
      </c>
      <c r="N167" s="11" t="s">
        <v>731</v>
      </c>
      <c r="O167" s="15"/>
      <c r="P167" s="14"/>
      <c r="Q167" s="13"/>
      <c r="R167" s="13"/>
    </row>
    <row r="168" spans="1:18" x14ac:dyDescent="0.2">
      <c r="A168">
        <v>107164</v>
      </c>
      <c r="B168" s="8" t="s">
        <v>433</v>
      </c>
      <c r="C168" s="8" t="s">
        <v>732</v>
      </c>
      <c r="D168" s="8" t="s">
        <v>621</v>
      </c>
      <c r="E168" s="9">
        <v>10.74</v>
      </c>
      <c r="F168" s="9">
        <v>2.99</v>
      </c>
      <c r="G168" s="20">
        <f t="shared" si="10"/>
        <v>2.5921648998331999E-2</v>
      </c>
      <c r="H168" s="21">
        <f t="shared" si="11"/>
        <v>-7.75</v>
      </c>
      <c r="I168" s="21">
        <f t="shared" si="12"/>
        <v>-1.55</v>
      </c>
      <c r="J168" s="21">
        <f t="shared" si="13"/>
        <v>1.4400000000000002</v>
      </c>
      <c r="K168" s="21">
        <f t="shared" si="14"/>
        <v>2</v>
      </c>
      <c r="L168" s="8" t="s">
        <v>733</v>
      </c>
      <c r="M168" s="10" t="s">
        <v>734</v>
      </c>
      <c r="N168" s="11" t="s">
        <v>735</v>
      </c>
      <c r="O168" s="15"/>
      <c r="P168" s="14"/>
      <c r="Q168" s="13"/>
      <c r="R168" s="13"/>
    </row>
    <row r="169" spans="1:18" x14ac:dyDescent="0.2">
      <c r="A169">
        <v>107165</v>
      </c>
      <c r="B169" s="8" t="s">
        <v>433</v>
      </c>
      <c r="C169" s="8" t="s">
        <v>736</v>
      </c>
      <c r="D169" s="8" t="s">
        <v>737</v>
      </c>
      <c r="E169" s="9">
        <v>21.54</v>
      </c>
      <c r="F169" s="9">
        <v>5.99</v>
      </c>
      <c r="G169" s="20">
        <f t="shared" si="10"/>
        <v>1.2910272956361985E-2</v>
      </c>
      <c r="H169" s="21">
        <f t="shared" si="11"/>
        <v>-15.549999999999999</v>
      </c>
      <c r="I169" s="21">
        <f t="shared" si="12"/>
        <v>-3.11</v>
      </c>
      <c r="J169" s="21">
        <f t="shared" si="13"/>
        <v>2.8800000000000003</v>
      </c>
      <c r="K169" s="21">
        <f t="shared" si="14"/>
        <v>3</v>
      </c>
      <c r="L169" s="8" t="s">
        <v>738</v>
      </c>
      <c r="M169" s="10" t="s">
        <v>739</v>
      </c>
      <c r="N169" s="11" t="s">
        <v>740</v>
      </c>
      <c r="O169" s="11" t="s">
        <v>741</v>
      </c>
      <c r="P169" s="12" t="s">
        <v>742</v>
      </c>
      <c r="Q169" s="13"/>
      <c r="R169" s="13"/>
    </row>
    <row r="170" spans="1:18" x14ac:dyDescent="0.2">
      <c r="A170">
        <v>107166</v>
      </c>
      <c r="B170" s="8" t="s">
        <v>433</v>
      </c>
      <c r="C170" s="8" t="s">
        <v>743</v>
      </c>
      <c r="D170" s="8" t="s">
        <v>737</v>
      </c>
      <c r="E170" s="9">
        <v>21.54</v>
      </c>
      <c r="F170" s="9">
        <v>5.99</v>
      </c>
      <c r="G170" s="20">
        <f t="shared" si="10"/>
        <v>1.2910272956361985E-2</v>
      </c>
      <c r="H170" s="21">
        <f t="shared" si="11"/>
        <v>-15.549999999999999</v>
      </c>
      <c r="I170" s="21">
        <f t="shared" si="12"/>
        <v>-3.11</v>
      </c>
      <c r="J170" s="21">
        <f t="shared" si="13"/>
        <v>2.8800000000000003</v>
      </c>
      <c r="K170" s="21">
        <f t="shared" si="14"/>
        <v>3</v>
      </c>
      <c r="L170" s="8" t="s">
        <v>744</v>
      </c>
      <c r="M170" s="10" t="s">
        <v>745</v>
      </c>
      <c r="N170" s="11" t="s">
        <v>746</v>
      </c>
      <c r="O170" s="15"/>
      <c r="P170" s="14"/>
      <c r="Q170" s="13"/>
      <c r="R170" s="13"/>
    </row>
    <row r="171" spans="1:18" x14ac:dyDescent="0.2">
      <c r="A171">
        <v>107167</v>
      </c>
      <c r="B171" s="8" t="s">
        <v>433</v>
      </c>
      <c r="C171" s="8" t="s">
        <v>747</v>
      </c>
      <c r="D171" s="8" t="s">
        <v>737</v>
      </c>
      <c r="E171" s="9">
        <v>21.54</v>
      </c>
      <c r="F171" s="9">
        <v>5.99</v>
      </c>
      <c r="G171" s="20">
        <f t="shared" si="10"/>
        <v>1.2910272956361985E-2</v>
      </c>
      <c r="H171" s="21">
        <f t="shared" si="11"/>
        <v>-15.549999999999999</v>
      </c>
      <c r="I171" s="21">
        <f t="shared" si="12"/>
        <v>-3.11</v>
      </c>
      <c r="J171" s="21">
        <f t="shared" si="13"/>
        <v>2.8800000000000003</v>
      </c>
      <c r="K171" s="21">
        <f t="shared" si="14"/>
        <v>3</v>
      </c>
      <c r="L171" s="8" t="s">
        <v>748</v>
      </c>
      <c r="M171" s="10" t="s">
        <v>749</v>
      </c>
      <c r="N171" s="11" t="s">
        <v>750</v>
      </c>
      <c r="O171" s="11" t="s">
        <v>751</v>
      </c>
      <c r="P171" s="12" t="s">
        <v>752</v>
      </c>
      <c r="Q171" s="13"/>
      <c r="R171" s="13"/>
    </row>
    <row r="172" spans="1:18" x14ac:dyDescent="0.2">
      <c r="A172">
        <v>107168</v>
      </c>
      <c r="B172" s="8" t="s">
        <v>433</v>
      </c>
      <c r="C172" s="8" t="s">
        <v>753</v>
      </c>
      <c r="D172" s="8" t="s">
        <v>737</v>
      </c>
      <c r="E172" s="9">
        <v>21.54</v>
      </c>
      <c r="F172" s="9">
        <v>5.99</v>
      </c>
      <c r="G172" s="20">
        <f t="shared" si="10"/>
        <v>1.2910272956361985E-2</v>
      </c>
      <c r="H172" s="21">
        <f t="shared" si="11"/>
        <v>-15.549999999999999</v>
      </c>
      <c r="I172" s="21">
        <f t="shared" si="12"/>
        <v>-3.11</v>
      </c>
      <c r="J172" s="21">
        <f t="shared" si="13"/>
        <v>2.8800000000000003</v>
      </c>
      <c r="K172" s="21">
        <f t="shared" si="14"/>
        <v>3</v>
      </c>
      <c r="L172" s="8" t="s">
        <v>754</v>
      </c>
      <c r="M172" s="10" t="s">
        <v>755</v>
      </c>
      <c r="N172" s="11" t="s">
        <v>756</v>
      </c>
      <c r="O172" s="15"/>
      <c r="P172" s="14"/>
      <c r="Q172" s="13"/>
      <c r="R172" s="13"/>
    </row>
    <row r="173" spans="1:18" x14ac:dyDescent="0.2">
      <c r="A173">
        <v>107169</v>
      </c>
      <c r="B173" s="8" t="s">
        <v>433</v>
      </c>
      <c r="C173" s="8" t="s">
        <v>757</v>
      </c>
      <c r="D173" s="8" t="s">
        <v>64</v>
      </c>
      <c r="E173" s="9">
        <v>6.59</v>
      </c>
      <c r="F173" s="9">
        <v>10.99</v>
      </c>
      <c r="G173" s="20">
        <f t="shared" si="10"/>
        <v>0.25306195758046063</v>
      </c>
      <c r="H173" s="21">
        <f t="shared" si="11"/>
        <v>4.4000000000000004</v>
      </c>
      <c r="I173" s="21">
        <f t="shared" si="12"/>
        <v>0.88000000000000012</v>
      </c>
      <c r="J173" s="21">
        <f t="shared" si="13"/>
        <v>11.870000000000001</v>
      </c>
      <c r="K173" s="21">
        <f t="shared" si="14"/>
        <v>12</v>
      </c>
      <c r="L173" s="8" t="s">
        <v>758</v>
      </c>
      <c r="M173" s="10" t="s">
        <v>759</v>
      </c>
      <c r="N173" s="11" t="s">
        <v>760</v>
      </c>
      <c r="O173" s="15"/>
      <c r="P173" s="14"/>
      <c r="Q173" s="13"/>
      <c r="R173" s="13"/>
    </row>
    <row r="174" spans="1:18" x14ac:dyDescent="0.2">
      <c r="A174">
        <v>107170</v>
      </c>
      <c r="B174" s="8" t="s">
        <v>433</v>
      </c>
      <c r="C174" s="8" t="s">
        <v>761</v>
      </c>
      <c r="D174" s="8" t="s">
        <v>64</v>
      </c>
      <c r="E174" s="9">
        <v>6.59</v>
      </c>
      <c r="F174" s="9">
        <v>10.99</v>
      </c>
      <c r="G174" s="20">
        <f t="shared" si="10"/>
        <v>0.25306195758046063</v>
      </c>
      <c r="H174" s="21">
        <f t="shared" si="11"/>
        <v>4.4000000000000004</v>
      </c>
      <c r="I174" s="21">
        <f t="shared" si="12"/>
        <v>0.88000000000000012</v>
      </c>
      <c r="J174" s="21">
        <f t="shared" si="13"/>
        <v>11.870000000000001</v>
      </c>
      <c r="K174" s="21">
        <f t="shared" si="14"/>
        <v>12</v>
      </c>
      <c r="L174" s="8" t="s">
        <v>762</v>
      </c>
      <c r="M174" s="10" t="s">
        <v>763</v>
      </c>
      <c r="N174" s="11" t="s">
        <v>764</v>
      </c>
      <c r="O174" s="15"/>
      <c r="P174" s="14"/>
      <c r="Q174" s="13"/>
      <c r="R174" s="13"/>
    </row>
    <row r="175" spans="1:18" x14ac:dyDescent="0.2">
      <c r="A175">
        <v>107171</v>
      </c>
      <c r="B175" s="8" t="s">
        <v>433</v>
      </c>
      <c r="C175" s="8" t="s">
        <v>765</v>
      </c>
      <c r="D175" s="8" t="s">
        <v>349</v>
      </c>
      <c r="E175" s="9">
        <v>17.39</v>
      </c>
      <c r="F175" s="9">
        <v>28.99</v>
      </c>
      <c r="G175" s="20">
        <f t="shared" si="10"/>
        <v>9.5862566345724917E-2</v>
      </c>
      <c r="H175" s="21">
        <f t="shared" si="11"/>
        <v>11.599999999999998</v>
      </c>
      <c r="I175" s="21">
        <f t="shared" si="12"/>
        <v>2.3199999999999998</v>
      </c>
      <c r="J175" s="21">
        <f t="shared" si="13"/>
        <v>31.31</v>
      </c>
      <c r="K175" s="21">
        <f t="shared" si="14"/>
        <v>32</v>
      </c>
      <c r="L175" s="8" t="s">
        <v>766</v>
      </c>
      <c r="M175" s="10" t="s">
        <v>767</v>
      </c>
      <c r="N175" s="11" t="s">
        <v>768</v>
      </c>
      <c r="O175" s="15"/>
      <c r="P175" s="14"/>
      <c r="Q175" s="13"/>
      <c r="R175" s="13"/>
    </row>
    <row r="176" spans="1:18" x14ac:dyDescent="0.2">
      <c r="A176">
        <v>107172</v>
      </c>
      <c r="B176" s="8" t="s">
        <v>433</v>
      </c>
      <c r="C176" s="8" t="s">
        <v>769</v>
      </c>
      <c r="D176" s="8" t="s">
        <v>64</v>
      </c>
      <c r="E176" s="9">
        <v>8.99</v>
      </c>
      <c r="F176" s="9">
        <v>14.99</v>
      </c>
      <c r="G176" s="20">
        <f t="shared" si="10"/>
        <v>0.18547366311103303</v>
      </c>
      <c r="H176" s="21">
        <f t="shared" si="11"/>
        <v>6</v>
      </c>
      <c r="I176" s="21">
        <f t="shared" si="12"/>
        <v>1.2000000000000002</v>
      </c>
      <c r="J176" s="21">
        <f t="shared" si="13"/>
        <v>16.190000000000001</v>
      </c>
      <c r="K176" s="21">
        <f t="shared" si="14"/>
        <v>17</v>
      </c>
      <c r="L176" s="8" t="s">
        <v>770</v>
      </c>
      <c r="M176" s="10" t="s">
        <v>771</v>
      </c>
      <c r="N176" s="11" t="s">
        <v>772</v>
      </c>
      <c r="O176" s="11" t="s">
        <v>773</v>
      </c>
      <c r="P176" s="14"/>
      <c r="Q176" s="13"/>
      <c r="R176" s="13"/>
    </row>
    <row r="177" spans="1:18" x14ac:dyDescent="0.2">
      <c r="A177">
        <v>107173</v>
      </c>
      <c r="B177" s="8" t="s">
        <v>433</v>
      </c>
      <c r="C177" s="8" t="s">
        <v>774</v>
      </c>
      <c r="D177" s="8" t="s">
        <v>445</v>
      </c>
      <c r="E177" s="9">
        <v>17.39</v>
      </c>
      <c r="F177" s="9">
        <v>28.99</v>
      </c>
      <c r="G177" s="20">
        <f t="shared" si="10"/>
        <v>9.5862566345724917E-2</v>
      </c>
      <c r="H177" s="21">
        <f t="shared" si="11"/>
        <v>11.599999999999998</v>
      </c>
      <c r="I177" s="21">
        <f t="shared" si="12"/>
        <v>2.3199999999999998</v>
      </c>
      <c r="J177" s="21">
        <f t="shared" si="13"/>
        <v>31.31</v>
      </c>
      <c r="K177" s="21">
        <f t="shared" si="14"/>
        <v>32</v>
      </c>
      <c r="L177" s="8" t="s">
        <v>775</v>
      </c>
      <c r="M177" s="10" t="s">
        <v>776</v>
      </c>
      <c r="N177" s="11" t="s">
        <v>777</v>
      </c>
      <c r="O177" s="11" t="s">
        <v>778</v>
      </c>
      <c r="P177" s="12" t="s">
        <v>779</v>
      </c>
      <c r="Q177" s="13"/>
      <c r="R177" s="13"/>
    </row>
    <row r="178" spans="1:18" x14ac:dyDescent="0.2">
      <c r="A178">
        <v>107174</v>
      </c>
      <c r="B178" s="8" t="s">
        <v>433</v>
      </c>
      <c r="C178" s="8" t="s">
        <v>780</v>
      </c>
      <c r="D178" s="8" t="s">
        <v>460</v>
      </c>
      <c r="E178" s="9">
        <v>11.39</v>
      </c>
      <c r="F178" s="9">
        <v>18.989999999999998</v>
      </c>
      <c r="G178" s="20">
        <f t="shared" si="10"/>
        <v>0.14637857554144268</v>
      </c>
      <c r="H178" s="21">
        <f t="shared" si="11"/>
        <v>7.5999999999999979</v>
      </c>
      <c r="I178" s="21">
        <f t="shared" si="12"/>
        <v>1.5199999999999996</v>
      </c>
      <c r="J178" s="21">
        <f t="shared" si="13"/>
        <v>20.509999999999998</v>
      </c>
      <c r="K178" s="21">
        <f t="shared" si="14"/>
        <v>21</v>
      </c>
      <c r="L178" s="8" t="s">
        <v>781</v>
      </c>
      <c r="M178" s="10" t="s">
        <v>782</v>
      </c>
      <c r="N178" s="11" t="s">
        <v>783</v>
      </c>
      <c r="O178" s="11" t="s">
        <v>784</v>
      </c>
      <c r="P178" s="14"/>
      <c r="Q178" s="13"/>
      <c r="R178" s="13"/>
    </row>
    <row r="179" spans="1:18" x14ac:dyDescent="0.2">
      <c r="A179">
        <v>107175</v>
      </c>
      <c r="B179" s="8" t="s">
        <v>433</v>
      </c>
      <c r="C179" s="8" t="s">
        <v>785</v>
      </c>
      <c r="D179" s="8" t="s">
        <v>39</v>
      </c>
      <c r="E179" s="9">
        <v>11.99</v>
      </c>
      <c r="F179" s="9">
        <v>19.989999999999998</v>
      </c>
      <c r="G179" s="20">
        <f t="shared" si="10"/>
        <v>0.13905109971403748</v>
      </c>
      <c r="H179" s="21">
        <f t="shared" si="11"/>
        <v>7.9999999999999982</v>
      </c>
      <c r="I179" s="21">
        <f t="shared" si="12"/>
        <v>1.5999999999999996</v>
      </c>
      <c r="J179" s="21">
        <f t="shared" si="13"/>
        <v>21.589999999999996</v>
      </c>
      <c r="K179" s="21">
        <f t="shared" si="14"/>
        <v>22</v>
      </c>
      <c r="L179" s="8" t="s">
        <v>786</v>
      </c>
      <c r="M179" s="10" t="s">
        <v>787</v>
      </c>
      <c r="N179" s="11" t="s">
        <v>788</v>
      </c>
      <c r="O179" s="11" t="s">
        <v>789</v>
      </c>
      <c r="P179" s="14"/>
      <c r="Q179" s="13"/>
      <c r="R179" s="13"/>
    </row>
    <row r="180" spans="1:18" x14ac:dyDescent="0.2">
      <c r="A180">
        <v>107176</v>
      </c>
      <c r="B180" s="8" t="s">
        <v>433</v>
      </c>
      <c r="C180" s="8" t="s">
        <v>790</v>
      </c>
      <c r="D180" s="8" t="s">
        <v>39</v>
      </c>
      <c r="E180" s="9">
        <v>11.99</v>
      </c>
      <c r="F180" s="9">
        <v>19.989999999999998</v>
      </c>
      <c r="G180" s="20">
        <f t="shared" si="10"/>
        <v>0.13905109971403748</v>
      </c>
      <c r="H180" s="21">
        <f t="shared" si="11"/>
        <v>7.9999999999999982</v>
      </c>
      <c r="I180" s="21">
        <f t="shared" si="12"/>
        <v>1.5999999999999996</v>
      </c>
      <c r="J180" s="21">
        <f t="shared" si="13"/>
        <v>21.589999999999996</v>
      </c>
      <c r="K180" s="21">
        <f t="shared" si="14"/>
        <v>22</v>
      </c>
      <c r="L180" s="8" t="s">
        <v>791</v>
      </c>
      <c r="M180" s="10" t="s">
        <v>792</v>
      </c>
      <c r="N180" s="11" t="s">
        <v>793</v>
      </c>
      <c r="O180" s="11" t="s">
        <v>794</v>
      </c>
      <c r="P180" s="14"/>
      <c r="Q180" s="13"/>
      <c r="R180" s="13"/>
    </row>
    <row r="181" spans="1:18" x14ac:dyDescent="0.2">
      <c r="A181">
        <v>107177</v>
      </c>
      <c r="B181" s="8" t="s">
        <v>433</v>
      </c>
      <c r="C181" s="8" t="s">
        <v>795</v>
      </c>
      <c r="D181" s="8" t="s">
        <v>460</v>
      </c>
      <c r="E181" s="9">
        <v>10.19</v>
      </c>
      <c r="F181" s="9">
        <v>16.989999999999998</v>
      </c>
      <c r="G181" s="20">
        <f t="shared" si="10"/>
        <v>0.16362324856191632</v>
      </c>
      <c r="H181" s="21">
        <f t="shared" si="11"/>
        <v>6.7999999999999989</v>
      </c>
      <c r="I181" s="21">
        <f t="shared" si="12"/>
        <v>1.3599999999999999</v>
      </c>
      <c r="J181" s="21">
        <f t="shared" si="13"/>
        <v>18.349999999999998</v>
      </c>
      <c r="K181" s="21">
        <f t="shared" si="14"/>
        <v>19</v>
      </c>
      <c r="L181" s="8" t="s">
        <v>796</v>
      </c>
      <c r="M181" s="10" t="s">
        <v>797</v>
      </c>
      <c r="N181" s="11" t="s">
        <v>798</v>
      </c>
      <c r="O181" s="11" t="s">
        <v>799</v>
      </c>
      <c r="P181" s="14"/>
      <c r="Q181" s="13"/>
      <c r="R181" s="13"/>
    </row>
    <row r="182" spans="1:18" x14ac:dyDescent="0.2">
      <c r="A182">
        <v>107178</v>
      </c>
      <c r="B182" s="8" t="s">
        <v>433</v>
      </c>
      <c r="C182" s="8" t="s">
        <v>800</v>
      </c>
      <c r="D182" s="8" t="s">
        <v>445</v>
      </c>
      <c r="E182" s="9">
        <v>17.39</v>
      </c>
      <c r="F182" s="9">
        <v>28.99</v>
      </c>
      <c r="G182" s="20">
        <f t="shared" si="10"/>
        <v>9.5862566345724917E-2</v>
      </c>
      <c r="H182" s="21">
        <f t="shared" si="11"/>
        <v>11.599999999999998</v>
      </c>
      <c r="I182" s="21">
        <f t="shared" si="12"/>
        <v>2.3199999999999998</v>
      </c>
      <c r="J182" s="21">
        <f t="shared" si="13"/>
        <v>31.31</v>
      </c>
      <c r="K182" s="21">
        <f t="shared" si="14"/>
        <v>32</v>
      </c>
      <c r="L182" s="8" t="s">
        <v>801</v>
      </c>
      <c r="M182" s="10" t="s">
        <v>802</v>
      </c>
      <c r="N182" s="11" t="s">
        <v>803</v>
      </c>
      <c r="O182" s="11" t="s">
        <v>804</v>
      </c>
      <c r="P182" s="12" t="s">
        <v>805</v>
      </c>
      <c r="Q182" s="13"/>
      <c r="R182" s="13"/>
    </row>
    <row r="183" spans="1:18" x14ac:dyDescent="0.2">
      <c r="A183">
        <v>107179</v>
      </c>
      <c r="B183" s="8" t="s">
        <v>433</v>
      </c>
      <c r="C183" s="8" t="s">
        <v>806</v>
      </c>
      <c r="D183" s="8" t="s">
        <v>349</v>
      </c>
      <c r="E183" s="9">
        <v>13.79</v>
      </c>
      <c r="F183" s="9">
        <v>22.99</v>
      </c>
      <c r="G183" s="20">
        <f t="shared" si="10"/>
        <v>0.12089558439263773</v>
      </c>
      <c r="H183" s="21">
        <f t="shared" si="11"/>
        <v>9.1999999999999993</v>
      </c>
      <c r="I183" s="21">
        <f t="shared" si="12"/>
        <v>1.8399999999999999</v>
      </c>
      <c r="J183" s="21">
        <f t="shared" si="13"/>
        <v>24.83</v>
      </c>
      <c r="K183" s="21">
        <f t="shared" si="14"/>
        <v>25</v>
      </c>
      <c r="L183" s="8" t="s">
        <v>807</v>
      </c>
      <c r="M183" s="10" t="s">
        <v>808</v>
      </c>
      <c r="N183" s="11" t="s">
        <v>809</v>
      </c>
      <c r="O183" s="11" t="s">
        <v>810</v>
      </c>
      <c r="P183" s="12" t="s">
        <v>811</v>
      </c>
      <c r="Q183" s="13"/>
      <c r="R183" s="13"/>
    </row>
    <row r="184" spans="1:18" x14ac:dyDescent="0.2">
      <c r="A184">
        <v>107180</v>
      </c>
      <c r="B184" s="8" t="s">
        <v>433</v>
      </c>
      <c r="C184" s="8" t="s">
        <v>812</v>
      </c>
      <c r="D184" s="8" t="s">
        <v>616</v>
      </c>
      <c r="E184" s="19">
        <v>6.59</v>
      </c>
      <c r="F184" s="19">
        <v>10.99</v>
      </c>
      <c r="G184" s="20">
        <f t="shared" si="10"/>
        <v>0.25306195758046063</v>
      </c>
      <c r="H184" s="21">
        <f t="shared" si="11"/>
        <v>4.4000000000000004</v>
      </c>
      <c r="I184" s="21">
        <f t="shared" si="12"/>
        <v>0.88000000000000012</v>
      </c>
      <c r="J184" s="21">
        <f t="shared" si="13"/>
        <v>11.870000000000001</v>
      </c>
      <c r="K184" s="21">
        <f t="shared" si="14"/>
        <v>12</v>
      </c>
      <c r="L184" s="8" t="s">
        <v>813</v>
      </c>
      <c r="M184" s="10" t="s">
        <v>814</v>
      </c>
      <c r="N184" s="11" t="s">
        <v>815</v>
      </c>
      <c r="O184" s="15"/>
      <c r="P184" s="14"/>
      <c r="Q184" s="13"/>
      <c r="R184" s="13"/>
    </row>
    <row r="185" spans="1:18" x14ac:dyDescent="0.2">
      <c r="A185">
        <v>107181</v>
      </c>
      <c r="B185" s="8" t="s">
        <v>433</v>
      </c>
      <c r="C185" s="8" t="s">
        <v>816</v>
      </c>
      <c r="D185" s="8" t="s">
        <v>621</v>
      </c>
      <c r="E185" s="9">
        <v>10.74</v>
      </c>
      <c r="F185" s="9">
        <v>2.99</v>
      </c>
      <c r="G185" s="20">
        <f t="shared" si="10"/>
        <v>2.5921648998331999E-2</v>
      </c>
      <c r="H185" s="21">
        <f t="shared" si="11"/>
        <v>-7.75</v>
      </c>
      <c r="I185" s="21">
        <f t="shared" si="12"/>
        <v>-1.55</v>
      </c>
      <c r="J185" s="21">
        <f t="shared" si="13"/>
        <v>1.4400000000000002</v>
      </c>
      <c r="K185" s="21">
        <f t="shared" si="14"/>
        <v>2</v>
      </c>
      <c r="L185" s="8" t="s">
        <v>817</v>
      </c>
      <c r="M185" s="17"/>
      <c r="N185" s="15"/>
      <c r="O185" s="15"/>
      <c r="P185" s="14"/>
      <c r="Q185" s="13"/>
      <c r="R185" s="13"/>
    </row>
    <row r="186" spans="1:18" x14ac:dyDescent="0.2">
      <c r="A186">
        <v>107182</v>
      </c>
      <c r="B186" s="8" t="s">
        <v>433</v>
      </c>
      <c r="C186" s="8" t="s">
        <v>818</v>
      </c>
      <c r="D186" s="8" t="s">
        <v>621</v>
      </c>
      <c r="E186" s="9">
        <v>10.74</v>
      </c>
      <c r="F186" s="9">
        <v>2.99</v>
      </c>
      <c r="G186" s="20">
        <f t="shared" si="10"/>
        <v>2.5921648998331999E-2</v>
      </c>
      <c r="H186" s="21">
        <f t="shared" si="11"/>
        <v>-7.75</v>
      </c>
      <c r="I186" s="21">
        <f t="shared" si="12"/>
        <v>-1.55</v>
      </c>
      <c r="J186" s="21">
        <f t="shared" si="13"/>
        <v>1.4400000000000002</v>
      </c>
      <c r="K186" s="21">
        <f t="shared" si="14"/>
        <v>2</v>
      </c>
      <c r="L186" s="8" t="s">
        <v>819</v>
      </c>
      <c r="M186" s="10" t="s">
        <v>820</v>
      </c>
      <c r="N186" s="11" t="s">
        <v>821</v>
      </c>
      <c r="O186" s="15"/>
      <c r="P186" s="14"/>
      <c r="Q186" s="13"/>
      <c r="R186" s="13"/>
    </row>
    <row r="187" spans="1:18" x14ac:dyDescent="0.2">
      <c r="A187">
        <v>107183</v>
      </c>
      <c r="B187" s="8" t="s">
        <v>433</v>
      </c>
      <c r="C187" s="8" t="s">
        <v>822</v>
      </c>
      <c r="D187" s="8" t="s">
        <v>616</v>
      </c>
      <c r="E187" s="19">
        <v>6.59</v>
      </c>
      <c r="F187" s="19">
        <v>10.99</v>
      </c>
      <c r="G187" s="20">
        <f t="shared" si="10"/>
        <v>0.25306195758046063</v>
      </c>
      <c r="H187" s="21">
        <f t="shared" si="11"/>
        <v>4.4000000000000004</v>
      </c>
      <c r="I187" s="21">
        <f t="shared" si="12"/>
        <v>0.88000000000000012</v>
      </c>
      <c r="J187" s="21">
        <f t="shared" si="13"/>
        <v>11.870000000000001</v>
      </c>
      <c r="K187" s="21">
        <f t="shared" si="14"/>
        <v>12</v>
      </c>
      <c r="L187" s="8" t="s">
        <v>823</v>
      </c>
      <c r="M187" s="10" t="s">
        <v>824</v>
      </c>
      <c r="N187" s="11" t="s">
        <v>825</v>
      </c>
      <c r="O187" s="15"/>
      <c r="P187" s="14"/>
      <c r="Q187" s="13"/>
      <c r="R187" s="13"/>
    </row>
    <row r="188" spans="1:18" x14ac:dyDescent="0.2">
      <c r="A188">
        <v>107184</v>
      </c>
      <c r="B188" s="8" t="s">
        <v>433</v>
      </c>
      <c r="C188" s="8" t="s">
        <v>826</v>
      </c>
      <c r="D188" s="8" t="s">
        <v>616</v>
      </c>
      <c r="E188" s="19">
        <v>6.59</v>
      </c>
      <c r="F188" s="19">
        <v>10.99</v>
      </c>
      <c r="G188" s="20">
        <f t="shared" si="10"/>
        <v>0.25306195758046063</v>
      </c>
      <c r="H188" s="21">
        <f t="shared" si="11"/>
        <v>4.4000000000000004</v>
      </c>
      <c r="I188" s="21">
        <f t="shared" si="12"/>
        <v>0.88000000000000012</v>
      </c>
      <c r="J188" s="21">
        <f t="shared" si="13"/>
        <v>11.870000000000001</v>
      </c>
      <c r="K188" s="21">
        <f t="shared" si="14"/>
        <v>12</v>
      </c>
      <c r="L188" s="8" t="s">
        <v>827</v>
      </c>
      <c r="M188" s="10" t="s">
        <v>828</v>
      </c>
      <c r="N188" s="11" t="s">
        <v>829</v>
      </c>
      <c r="O188" s="15"/>
      <c r="P188" s="14"/>
      <c r="Q188" s="13"/>
      <c r="R188" s="13"/>
    </row>
    <row r="189" spans="1:18" x14ac:dyDescent="0.2">
      <c r="A189">
        <v>107185</v>
      </c>
      <c r="B189" s="8" t="s">
        <v>433</v>
      </c>
      <c r="C189" s="8" t="s">
        <v>830</v>
      </c>
      <c r="D189" s="8" t="s">
        <v>616</v>
      </c>
      <c r="E189" s="19">
        <v>6.59</v>
      </c>
      <c r="F189" s="19">
        <v>10.99</v>
      </c>
      <c r="G189" s="20">
        <f t="shared" si="10"/>
        <v>0.25306195758046063</v>
      </c>
      <c r="H189" s="21">
        <f t="shared" si="11"/>
        <v>4.4000000000000004</v>
      </c>
      <c r="I189" s="21">
        <f t="shared" si="12"/>
        <v>0.88000000000000012</v>
      </c>
      <c r="J189" s="21">
        <f t="shared" si="13"/>
        <v>11.870000000000001</v>
      </c>
      <c r="K189" s="21">
        <f t="shared" si="14"/>
        <v>12</v>
      </c>
      <c r="L189" s="8" t="s">
        <v>831</v>
      </c>
      <c r="M189" s="10" t="s">
        <v>832</v>
      </c>
      <c r="N189" s="11" t="s">
        <v>833</v>
      </c>
      <c r="O189" s="15"/>
      <c r="P189" s="14"/>
      <c r="Q189" s="13"/>
      <c r="R189" s="13"/>
    </row>
    <row r="190" spans="1:18" x14ac:dyDescent="0.2">
      <c r="A190">
        <v>107186</v>
      </c>
      <c r="B190" s="8" t="s">
        <v>433</v>
      </c>
      <c r="C190" s="8" t="s">
        <v>834</v>
      </c>
      <c r="D190" s="8" t="s">
        <v>616</v>
      </c>
      <c r="E190" s="19">
        <v>6.59</v>
      </c>
      <c r="F190" s="19">
        <v>10.99</v>
      </c>
      <c r="G190" s="20">
        <f t="shared" si="10"/>
        <v>0.25306195758046063</v>
      </c>
      <c r="H190" s="21">
        <f t="shared" si="11"/>
        <v>4.4000000000000004</v>
      </c>
      <c r="I190" s="21">
        <f t="shared" si="12"/>
        <v>0.88000000000000012</v>
      </c>
      <c r="J190" s="21">
        <f t="shared" si="13"/>
        <v>11.870000000000001</v>
      </c>
      <c r="K190" s="21">
        <f t="shared" si="14"/>
        <v>12</v>
      </c>
      <c r="L190" s="8" t="s">
        <v>835</v>
      </c>
      <c r="M190" s="10" t="s">
        <v>836</v>
      </c>
      <c r="N190" s="11" t="s">
        <v>837</v>
      </c>
      <c r="O190" s="15"/>
      <c r="P190" s="14"/>
      <c r="Q190" s="13"/>
      <c r="R190" s="13"/>
    </row>
    <row r="191" spans="1:18" x14ac:dyDescent="0.2">
      <c r="A191">
        <v>107187</v>
      </c>
      <c r="B191" s="8" t="s">
        <v>433</v>
      </c>
      <c r="C191" s="8" t="s">
        <v>838</v>
      </c>
      <c r="D191" s="8" t="s">
        <v>70</v>
      </c>
      <c r="E191" s="9">
        <v>6.59</v>
      </c>
      <c r="F191" s="9">
        <v>10.99</v>
      </c>
      <c r="G191" s="20">
        <f t="shared" si="10"/>
        <v>0.25306195758046063</v>
      </c>
      <c r="H191" s="21">
        <f t="shared" si="11"/>
        <v>4.4000000000000004</v>
      </c>
      <c r="I191" s="21">
        <f t="shared" si="12"/>
        <v>0.88000000000000012</v>
      </c>
      <c r="J191" s="21">
        <f t="shared" si="13"/>
        <v>11.870000000000001</v>
      </c>
      <c r="K191" s="21">
        <f t="shared" si="14"/>
        <v>12</v>
      </c>
      <c r="L191" s="8" t="s">
        <v>839</v>
      </c>
      <c r="M191" s="10" t="s">
        <v>840</v>
      </c>
      <c r="N191" s="11" t="s">
        <v>841</v>
      </c>
      <c r="O191" s="15"/>
      <c r="P191" s="14"/>
      <c r="Q191" s="13"/>
      <c r="R191" s="13"/>
    </row>
    <row r="192" spans="1:18" x14ac:dyDescent="0.2">
      <c r="A192">
        <v>107188</v>
      </c>
      <c r="B192" s="8" t="s">
        <v>433</v>
      </c>
      <c r="C192" s="8" t="s">
        <v>842</v>
      </c>
      <c r="D192" s="8" t="s">
        <v>70</v>
      </c>
      <c r="E192" s="9">
        <v>6.59</v>
      </c>
      <c r="F192" s="9">
        <v>10.99</v>
      </c>
      <c r="G192" s="20">
        <f t="shared" si="10"/>
        <v>0.25306195758046063</v>
      </c>
      <c r="H192" s="21">
        <f t="shared" si="11"/>
        <v>4.4000000000000004</v>
      </c>
      <c r="I192" s="21">
        <f t="shared" si="12"/>
        <v>0.88000000000000012</v>
      </c>
      <c r="J192" s="21">
        <f t="shared" si="13"/>
        <v>11.870000000000001</v>
      </c>
      <c r="K192" s="21">
        <f t="shared" si="14"/>
        <v>12</v>
      </c>
      <c r="L192" s="8" t="s">
        <v>843</v>
      </c>
      <c r="M192" s="10" t="s">
        <v>844</v>
      </c>
      <c r="N192" s="11" t="s">
        <v>845</v>
      </c>
      <c r="O192" s="15"/>
      <c r="P192" s="14"/>
      <c r="Q192" s="13"/>
      <c r="R192" s="13"/>
    </row>
    <row r="193" spans="1:18" x14ac:dyDescent="0.2">
      <c r="A193">
        <v>107189</v>
      </c>
      <c r="B193" s="8" t="s">
        <v>433</v>
      </c>
      <c r="C193" s="8" t="s">
        <v>846</v>
      </c>
      <c r="D193" s="8" t="s">
        <v>106</v>
      </c>
      <c r="E193" s="9">
        <v>6.59</v>
      </c>
      <c r="F193" s="9">
        <v>10.99</v>
      </c>
      <c r="G193" s="20">
        <f t="shared" si="10"/>
        <v>0.25306195758046063</v>
      </c>
      <c r="H193" s="21">
        <f t="shared" si="11"/>
        <v>4.4000000000000004</v>
      </c>
      <c r="I193" s="21">
        <f t="shared" si="12"/>
        <v>0.88000000000000012</v>
      </c>
      <c r="J193" s="21">
        <f t="shared" si="13"/>
        <v>11.870000000000001</v>
      </c>
      <c r="K193" s="21">
        <f t="shared" si="14"/>
        <v>12</v>
      </c>
      <c r="L193" s="8" t="s">
        <v>847</v>
      </c>
      <c r="M193" s="10" t="s">
        <v>848</v>
      </c>
      <c r="N193" s="15"/>
      <c r="O193" s="15"/>
      <c r="P193" s="14"/>
      <c r="Q193" s="13"/>
      <c r="R193" s="13"/>
    </row>
    <row r="194" spans="1:18" x14ac:dyDescent="0.2">
      <c r="A194">
        <v>107190</v>
      </c>
      <c r="B194" s="8" t="s">
        <v>433</v>
      </c>
      <c r="C194" s="8" t="s">
        <v>849</v>
      </c>
      <c r="D194" s="8" t="s">
        <v>106</v>
      </c>
      <c r="E194" s="9">
        <v>7.19</v>
      </c>
      <c r="F194" s="9">
        <v>11.99</v>
      </c>
      <c r="G194" s="20">
        <f t="shared" si="10"/>
        <v>0.23193238948392622</v>
      </c>
      <c r="H194" s="21">
        <f t="shared" si="11"/>
        <v>4.8</v>
      </c>
      <c r="I194" s="21">
        <f t="shared" si="12"/>
        <v>0.96</v>
      </c>
      <c r="J194" s="21">
        <f t="shared" si="13"/>
        <v>12.95</v>
      </c>
      <c r="K194" s="21">
        <f t="shared" si="14"/>
        <v>13</v>
      </c>
      <c r="L194" s="8" t="s">
        <v>850</v>
      </c>
      <c r="M194" s="10" t="s">
        <v>851</v>
      </c>
      <c r="N194" s="11" t="s">
        <v>852</v>
      </c>
      <c r="O194" s="15"/>
      <c r="P194" s="14"/>
      <c r="Q194" s="13"/>
      <c r="R194" s="13"/>
    </row>
    <row r="195" spans="1:18" x14ac:dyDescent="0.2">
      <c r="A195">
        <v>107191</v>
      </c>
      <c r="B195" s="8" t="s">
        <v>433</v>
      </c>
      <c r="C195" s="8" t="s">
        <v>853</v>
      </c>
      <c r="D195" s="8" t="s">
        <v>106</v>
      </c>
      <c r="E195" s="9">
        <v>7.19</v>
      </c>
      <c r="F195" s="9">
        <v>11.99</v>
      </c>
      <c r="G195" s="20">
        <f t="shared" ref="G195:G230" si="15">+(F195/E195)/E195</f>
        <v>0.23193238948392622</v>
      </c>
      <c r="H195" s="21">
        <f t="shared" ref="H195:H230" si="16">+F195-E195</f>
        <v>4.8</v>
      </c>
      <c r="I195" s="21">
        <f t="shared" ref="I195:I230" si="17">+H195*0.2</f>
        <v>0.96</v>
      </c>
      <c r="J195" s="21">
        <f t="shared" ref="J195:J230" si="18">+E195+H195+I195</f>
        <v>12.95</v>
      </c>
      <c r="K195" s="21">
        <f t="shared" ref="K195:K230" si="19">+ROUNDUP(J195,0)</f>
        <v>13</v>
      </c>
      <c r="L195" s="8" t="s">
        <v>854</v>
      </c>
      <c r="M195" s="10" t="s">
        <v>855</v>
      </c>
      <c r="N195" s="11" t="s">
        <v>856</v>
      </c>
      <c r="O195" s="15"/>
      <c r="P195" s="14"/>
      <c r="Q195" s="13"/>
      <c r="R195" s="13"/>
    </row>
    <row r="196" spans="1:18" x14ac:dyDescent="0.2">
      <c r="A196">
        <v>107192</v>
      </c>
      <c r="B196" s="8" t="s">
        <v>433</v>
      </c>
      <c r="C196" s="8" t="s">
        <v>857</v>
      </c>
      <c r="D196" s="8" t="s">
        <v>106</v>
      </c>
      <c r="E196" s="9">
        <v>6.59</v>
      </c>
      <c r="F196" s="9">
        <v>10.99</v>
      </c>
      <c r="G196" s="20">
        <f t="shared" si="15"/>
        <v>0.25306195758046063</v>
      </c>
      <c r="H196" s="21">
        <f t="shared" si="16"/>
        <v>4.4000000000000004</v>
      </c>
      <c r="I196" s="21">
        <f t="shared" si="17"/>
        <v>0.88000000000000012</v>
      </c>
      <c r="J196" s="21">
        <f t="shared" si="18"/>
        <v>11.870000000000001</v>
      </c>
      <c r="K196" s="21">
        <f t="shared" si="19"/>
        <v>12</v>
      </c>
      <c r="L196" s="8" t="s">
        <v>858</v>
      </c>
      <c r="M196" s="10" t="s">
        <v>859</v>
      </c>
      <c r="N196" s="11" t="s">
        <v>860</v>
      </c>
      <c r="O196" s="11" t="s">
        <v>861</v>
      </c>
      <c r="P196" s="14"/>
      <c r="Q196" s="13"/>
      <c r="R196" s="13"/>
    </row>
    <row r="197" spans="1:18" x14ac:dyDescent="0.2">
      <c r="A197">
        <v>107193</v>
      </c>
      <c r="B197" s="8" t="s">
        <v>433</v>
      </c>
      <c r="C197" s="8" t="s">
        <v>862</v>
      </c>
      <c r="D197" s="8" t="s">
        <v>156</v>
      </c>
      <c r="E197" s="9">
        <v>11.39</v>
      </c>
      <c r="F197" s="9">
        <v>18.989999999999998</v>
      </c>
      <c r="G197" s="20">
        <f t="shared" si="15"/>
        <v>0.14637857554144268</v>
      </c>
      <c r="H197" s="21">
        <f t="shared" si="16"/>
        <v>7.5999999999999979</v>
      </c>
      <c r="I197" s="21">
        <f t="shared" si="17"/>
        <v>1.5199999999999996</v>
      </c>
      <c r="J197" s="21">
        <f t="shared" si="18"/>
        <v>20.509999999999998</v>
      </c>
      <c r="K197" s="21">
        <f t="shared" si="19"/>
        <v>21</v>
      </c>
      <c r="L197" s="8" t="s">
        <v>863</v>
      </c>
      <c r="M197" s="10" t="s">
        <v>864</v>
      </c>
      <c r="N197" s="11" t="s">
        <v>865</v>
      </c>
      <c r="O197" s="11"/>
      <c r="P197" s="14"/>
      <c r="Q197" s="13"/>
      <c r="R197" s="13"/>
    </row>
    <row r="198" spans="1:18" x14ac:dyDescent="0.2">
      <c r="A198">
        <v>107194</v>
      </c>
      <c r="B198" s="8" t="s">
        <v>433</v>
      </c>
      <c r="C198" s="8" t="s">
        <v>866</v>
      </c>
      <c r="D198" s="8" t="s">
        <v>106</v>
      </c>
      <c r="E198" s="9">
        <v>6.59</v>
      </c>
      <c r="F198" s="9">
        <v>10.99</v>
      </c>
      <c r="G198" s="20">
        <f t="shared" si="15"/>
        <v>0.25306195758046063</v>
      </c>
      <c r="H198" s="21">
        <f t="shared" si="16"/>
        <v>4.4000000000000004</v>
      </c>
      <c r="I198" s="21">
        <f t="shared" si="17"/>
        <v>0.88000000000000012</v>
      </c>
      <c r="J198" s="21">
        <f t="shared" si="18"/>
        <v>11.870000000000001</v>
      </c>
      <c r="K198" s="21">
        <f t="shared" si="19"/>
        <v>12</v>
      </c>
      <c r="L198" s="8" t="s">
        <v>867</v>
      </c>
      <c r="M198" s="10" t="s">
        <v>868</v>
      </c>
      <c r="N198" s="11" t="s">
        <v>869</v>
      </c>
      <c r="O198" s="15"/>
      <c r="P198" s="14"/>
      <c r="Q198" s="13"/>
      <c r="R198" s="13"/>
    </row>
    <row r="199" spans="1:18" x14ac:dyDescent="0.2">
      <c r="A199">
        <v>107195</v>
      </c>
      <c r="B199" s="8" t="s">
        <v>433</v>
      </c>
      <c r="C199" s="8" t="s">
        <v>870</v>
      </c>
      <c r="D199" s="8" t="s">
        <v>871</v>
      </c>
      <c r="E199" s="9">
        <v>5.99</v>
      </c>
      <c r="F199" s="9">
        <v>9.99</v>
      </c>
      <c r="G199" s="20">
        <f t="shared" si="15"/>
        <v>0.27842731764961637</v>
      </c>
      <c r="H199" s="21">
        <f t="shared" si="16"/>
        <v>4</v>
      </c>
      <c r="I199" s="21">
        <f t="shared" si="17"/>
        <v>0.8</v>
      </c>
      <c r="J199" s="21">
        <f t="shared" si="18"/>
        <v>10.790000000000001</v>
      </c>
      <c r="K199" s="21">
        <f t="shared" si="19"/>
        <v>11</v>
      </c>
      <c r="L199" s="8" t="s">
        <v>872</v>
      </c>
      <c r="M199" s="10" t="s">
        <v>873</v>
      </c>
      <c r="N199" s="11" t="s">
        <v>874</v>
      </c>
      <c r="O199" s="15"/>
      <c r="P199" s="14"/>
      <c r="Q199" s="13"/>
      <c r="R199" s="13"/>
    </row>
    <row r="200" spans="1:18" x14ac:dyDescent="0.2">
      <c r="A200">
        <v>107196</v>
      </c>
      <c r="B200" s="8" t="s">
        <v>433</v>
      </c>
      <c r="C200" s="8" t="s">
        <v>875</v>
      </c>
      <c r="D200" s="8" t="s">
        <v>876</v>
      </c>
      <c r="E200" s="19">
        <v>6.59</v>
      </c>
      <c r="F200" s="19">
        <v>10.99</v>
      </c>
      <c r="G200" s="20">
        <f t="shared" si="15"/>
        <v>0.25306195758046063</v>
      </c>
      <c r="H200" s="21">
        <f t="shared" si="16"/>
        <v>4.4000000000000004</v>
      </c>
      <c r="I200" s="21">
        <f t="shared" si="17"/>
        <v>0.88000000000000012</v>
      </c>
      <c r="J200" s="21">
        <f t="shared" si="18"/>
        <v>11.870000000000001</v>
      </c>
      <c r="K200" s="21">
        <f t="shared" si="19"/>
        <v>12</v>
      </c>
      <c r="L200" s="8" t="s">
        <v>877</v>
      </c>
      <c r="M200" s="10" t="s">
        <v>878</v>
      </c>
      <c r="N200" s="11" t="s">
        <v>879</v>
      </c>
      <c r="O200" s="15"/>
      <c r="P200" s="14"/>
      <c r="Q200" s="13"/>
      <c r="R200" s="13"/>
    </row>
    <row r="201" spans="1:18" x14ac:dyDescent="0.2">
      <c r="A201">
        <v>107197</v>
      </c>
      <c r="B201" s="8" t="s">
        <v>433</v>
      </c>
      <c r="C201" s="8" t="s">
        <v>880</v>
      </c>
      <c r="D201" s="8" t="s">
        <v>881</v>
      </c>
      <c r="E201" s="9">
        <v>17.989999999999998</v>
      </c>
      <c r="F201" s="9">
        <v>29.99</v>
      </c>
      <c r="G201" s="20">
        <f t="shared" si="15"/>
        <v>9.2664660528778739E-2</v>
      </c>
      <c r="H201" s="21">
        <f t="shared" si="16"/>
        <v>12</v>
      </c>
      <c r="I201" s="21">
        <f t="shared" si="17"/>
        <v>2.4000000000000004</v>
      </c>
      <c r="J201" s="21">
        <f t="shared" si="18"/>
        <v>32.39</v>
      </c>
      <c r="K201" s="21">
        <f t="shared" si="19"/>
        <v>33</v>
      </c>
      <c r="L201" s="8" t="s">
        <v>882</v>
      </c>
      <c r="M201" s="10" t="s">
        <v>883</v>
      </c>
      <c r="N201" s="11" t="s">
        <v>884</v>
      </c>
      <c r="O201" s="11" t="s">
        <v>885</v>
      </c>
      <c r="P201" s="14"/>
      <c r="Q201" s="13"/>
      <c r="R201" s="13"/>
    </row>
    <row r="202" spans="1:18" x14ac:dyDescent="0.2">
      <c r="A202">
        <v>107198</v>
      </c>
      <c r="B202" s="8" t="s">
        <v>433</v>
      </c>
      <c r="C202" s="8" t="s">
        <v>886</v>
      </c>
      <c r="D202" s="8" t="s">
        <v>616</v>
      </c>
      <c r="E202" s="19">
        <v>6.59</v>
      </c>
      <c r="F202" s="19">
        <v>10.99</v>
      </c>
      <c r="G202" s="20">
        <f t="shared" si="15"/>
        <v>0.25306195758046063</v>
      </c>
      <c r="H202" s="21">
        <f t="shared" si="16"/>
        <v>4.4000000000000004</v>
      </c>
      <c r="I202" s="21">
        <f t="shared" si="17"/>
        <v>0.88000000000000012</v>
      </c>
      <c r="J202" s="21">
        <f t="shared" si="18"/>
        <v>11.870000000000001</v>
      </c>
      <c r="K202" s="21">
        <f t="shared" si="19"/>
        <v>12</v>
      </c>
      <c r="L202" s="8" t="s">
        <v>887</v>
      </c>
      <c r="M202" s="10" t="s">
        <v>888</v>
      </c>
      <c r="N202" s="11" t="s">
        <v>889</v>
      </c>
      <c r="O202" s="15"/>
      <c r="P202" s="14"/>
      <c r="Q202" s="13"/>
      <c r="R202" s="13"/>
    </row>
    <row r="203" spans="1:18" x14ac:dyDescent="0.2">
      <c r="A203">
        <v>108101</v>
      </c>
      <c r="B203" s="8" t="s">
        <v>890</v>
      </c>
      <c r="C203" s="8" t="s">
        <v>891</v>
      </c>
      <c r="D203" s="8" t="s">
        <v>892</v>
      </c>
      <c r="E203" s="9">
        <v>5.19</v>
      </c>
      <c r="F203" s="9">
        <v>7.99</v>
      </c>
      <c r="G203" s="20">
        <f t="shared" si="15"/>
        <v>0.29662794539669807</v>
      </c>
      <c r="H203" s="21">
        <f t="shared" si="16"/>
        <v>2.8</v>
      </c>
      <c r="I203" s="21">
        <f t="shared" si="17"/>
        <v>0.55999999999999994</v>
      </c>
      <c r="J203" s="21">
        <f t="shared" si="18"/>
        <v>8.5500000000000007</v>
      </c>
      <c r="K203" s="21">
        <f t="shared" si="19"/>
        <v>9</v>
      </c>
      <c r="L203" s="8" t="s">
        <v>893</v>
      </c>
      <c r="M203" s="10" t="s">
        <v>894</v>
      </c>
      <c r="N203" s="11" t="s">
        <v>895</v>
      </c>
      <c r="O203" s="11" t="s">
        <v>896</v>
      </c>
      <c r="P203" s="12" t="s">
        <v>897</v>
      </c>
      <c r="Q203" s="13"/>
      <c r="R203" s="13"/>
    </row>
    <row r="204" spans="1:18" x14ac:dyDescent="0.2">
      <c r="A204">
        <v>108102</v>
      </c>
      <c r="B204" s="8" t="s">
        <v>890</v>
      </c>
      <c r="C204" s="8" t="s">
        <v>898</v>
      </c>
      <c r="D204" s="8" t="s">
        <v>70</v>
      </c>
      <c r="E204" s="9">
        <v>3.81</v>
      </c>
      <c r="F204" s="9">
        <v>5.69</v>
      </c>
      <c r="G204" s="20">
        <f t="shared" si="15"/>
        <v>0.39197856173490131</v>
      </c>
      <c r="H204" s="21">
        <f t="shared" si="16"/>
        <v>1.8800000000000003</v>
      </c>
      <c r="I204" s="21">
        <f t="shared" si="17"/>
        <v>0.37600000000000011</v>
      </c>
      <c r="J204" s="21">
        <f t="shared" si="18"/>
        <v>6.0660000000000007</v>
      </c>
      <c r="K204" s="21">
        <f t="shared" si="19"/>
        <v>7</v>
      </c>
      <c r="L204" s="8" t="s">
        <v>899</v>
      </c>
      <c r="M204" s="10" t="s">
        <v>900</v>
      </c>
      <c r="N204" s="11" t="s">
        <v>901</v>
      </c>
      <c r="O204" s="11" t="s">
        <v>902</v>
      </c>
      <c r="P204" s="14"/>
      <c r="Q204" s="13"/>
      <c r="R204" s="13"/>
    </row>
    <row r="205" spans="1:18" x14ac:dyDescent="0.2">
      <c r="A205">
        <v>108103</v>
      </c>
      <c r="B205" s="8" t="s">
        <v>890</v>
      </c>
      <c r="C205" s="8" t="s">
        <v>903</v>
      </c>
      <c r="D205" s="8" t="s">
        <v>70</v>
      </c>
      <c r="E205" s="9">
        <v>3.81</v>
      </c>
      <c r="F205" s="9">
        <v>5.69</v>
      </c>
      <c r="G205" s="20">
        <f t="shared" si="15"/>
        <v>0.39197856173490131</v>
      </c>
      <c r="H205" s="21">
        <f t="shared" si="16"/>
        <v>1.8800000000000003</v>
      </c>
      <c r="I205" s="21">
        <f t="shared" si="17"/>
        <v>0.37600000000000011</v>
      </c>
      <c r="J205" s="21">
        <f t="shared" si="18"/>
        <v>6.0660000000000007</v>
      </c>
      <c r="K205" s="21">
        <f t="shared" si="19"/>
        <v>7</v>
      </c>
      <c r="L205" s="8" t="s">
        <v>904</v>
      </c>
      <c r="M205" s="10" t="s">
        <v>905</v>
      </c>
      <c r="N205" s="11" t="s">
        <v>906</v>
      </c>
      <c r="O205" s="15"/>
      <c r="P205" s="14"/>
      <c r="Q205" s="13"/>
      <c r="R205" s="13"/>
    </row>
    <row r="206" spans="1:18" x14ac:dyDescent="0.2">
      <c r="A206">
        <v>108104</v>
      </c>
      <c r="B206" s="8" t="s">
        <v>890</v>
      </c>
      <c r="C206" s="8" t="s">
        <v>907</v>
      </c>
      <c r="D206" s="8" t="s">
        <v>70</v>
      </c>
      <c r="E206" s="9">
        <v>3.81</v>
      </c>
      <c r="F206" s="9">
        <v>5.69</v>
      </c>
      <c r="G206" s="20">
        <f t="shared" si="15"/>
        <v>0.39197856173490131</v>
      </c>
      <c r="H206" s="21">
        <f t="shared" si="16"/>
        <v>1.8800000000000003</v>
      </c>
      <c r="I206" s="21">
        <f t="shared" si="17"/>
        <v>0.37600000000000011</v>
      </c>
      <c r="J206" s="21">
        <f t="shared" si="18"/>
        <v>6.0660000000000007</v>
      </c>
      <c r="K206" s="21">
        <f t="shared" si="19"/>
        <v>7</v>
      </c>
      <c r="L206" s="8" t="s">
        <v>908</v>
      </c>
      <c r="M206" s="10" t="s">
        <v>909</v>
      </c>
      <c r="N206" s="11" t="s">
        <v>910</v>
      </c>
      <c r="O206" s="11" t="s">
        <v>911</v>
      </c>
      <c r="P206" s="12" t="s">
        <v>912</v>
      </c>
      <c r="Q206" s="13"/>
      <c r="R206" s="13"/>
    </row>
    <row r="207" spans="1:18" x14ac:dyDescent="0.2">
      <c r="A207">
        <v>108105</v>
      </c>
      <c r="B207" s="8" t="s">
        <v>890</v>
      </c>
      <c r="C207" s="8" t="s">
        <v>913</v>
      </c>
      <c r="D207" s="8" t="s">
        <v>70</v>
      </c>
      <c r="E207" s="9">
        <v>3.81</v>
      </c>
      <c r="F207" s="9">
        <v>5.69</v>
      </c>
      <c r="G207" s="20">
        <f t="shared" si="15"/>
        <v>0.39197856173490131</v>
      </c>
      <c r="H207" s="21">
        <f t="shared" si="16"/>
        <v>1.8800000000000003</v>
      </c>
      <c r="I207" s="21">
        <f t="shared" si="17"/>
        <v>0.37600000000000011</v>
      </c>
      <c r="J207" s="21">
        <f t="shared" si="18"/>
        <v>6.0660000000000007</v>
      </c>
      <c r="K207" s="21">
        <f t="shared" si="19"/>
        <v>7</v>
      </c>
      <c r="L207" s="8" t="s">
        <v>914</v>
      </c>
      <c r="M207" s="10" t="s">
        <v>915</v>
      </c>
      <c r="N207" s="15"/>
      <c r="O207" s="15"/>
      <c r="P207" s="14"/>
      <c r="Q207" s="13"/>
      <c r="R207" s="13"/>
    </row>
    <row r="208" spans="1:18" x14ac:dyDescent="0.2">
      <c r="A208">
        <v>108106</v>
      </c>
      <c r="B208" s="8" t="s">
        <v>890</v>
      </c>
      <c r="C208" s="8" t="s">
        <v>916</v>
      </c>
      <c r="D208" s="8" t="s">
        <v>70</v>
      </c>
      <c r="E208" s="9">
        <v>3.81</v>
      </c>
      <c r="F208" s="9">
        <v>5.69</v>
      </c>
      <c r="G208" s="20">
        <f t="shared" si="15"/>
        <v>0.39197856173490131</v>
      </c>
      <c r="H208" s="21">
        <f t="shared" si="16"/>
        <v>1.8800000000000003</v>
      </c>
      <c r="I208" s="21">
        <f t="shared" si="17"/>
        <v>0.37600000000000011</v>
      </c>
      <c r="J208" s="21">
        <f t="shared" si="18"/>
        <v>6.0660000000000007</v>
      </c>
      <c r="K208" s="21">
        <f t="shared" si="19"/>
        <v>7</v>
      </c>
      <c r="L208" s="8" t="s">
        <v>917</v>
      </c>
      <c r="M208" s="10" t="s">
        <v>918</v>
      </c>
      <c r="N208" s="11" t="s">
        <v>919</v>
      </c>
      <c r="O208" s="11" t="s">
        <v>920</v>
      </c>
      <c r="P208" s="12" t="s">
        <v>921</v>
      </c>
      <c r="Q208" s="13"/>
      <c r="R208" s="13"/>
    </row>
    <row r="209" spans="1:18" x14ac:dyDescent="0.2">
      <c r="A209">
        <v>108107</v>
      </c>
      <c r="B209" s="8" t="s">
        <v>890</v>
      </c>
      <c r="C209" s="8" t="s">
        <v>922</v>
      </c>
      <c r="D209" s="8" t="s">
        <v>70</v>
      </c>
      <c r="E209" s="9">
        <v>3.81</v>
      </c>
      <c r="F209" s="9">
        <v>5.69</v>
      </c>
      <c r="G209" s="20">
        <f t="shared" si="15"/>
        <v>0.39197856173490131</v>
      </c>
      <c r="H209" s="21">
        <f t="shared" si="16"/>
        <v>1.8800000000000003</v>
      </c>
      <c r="I209" s="21">
        <f t="shared" si="17"/>
        <v>0.37600000000000011</v>
      </c>
      <c r="J209" s="21">
        <f t="shared" si="18"/>
        <v>6.0660000000000007</v>
      </c>
      <c r="K209" s="21">
        <f t="shared" si="19"/>
        <v>7</v>
      </c>
      <c r="L209" s="8" t="s">
        <v>923</v>
      </c>
      <c r="M209" s="10" t="s">
        <v>924</v>
      </c>
      <c r="N209" s="15"/>
      <c r="O209" s="15"/>
      <c r="P209" s="14"/>
      <c r="Q209" s="13"/>
      <c r="R209" s="13"/>
    </row>
    <row r="210" spans="1:18" x14ac:dyDescent="0.2">
      <c r="A210">
        <v>108108</v>
      </c>
      <c r="B210" s="8" t="s">
        <v>890</v>
      </c>
      <c r="C210" s="8" t="s">
        <v>925</v>
      </c>
      <c r="D210" s="8" t="s">
        <v>70</v>
      </c>
      <c r="E210" s="9">
        <v>3.81</v>
      </c>
      <c r="F210" s="9">
        <v>5.69</v>
      </c>
      <c r="G210" s="20">
        <f t="shared" si="15"/>
        <v>0.39197856173490131</v>
      </c>
      <c r="H210" s="21">
        <f t="shared" si="16"/>
        <v>1.8800000000000003</v>
      </c>
      <c r="I210" s="21">
        <f t="shared" si="17"/>
        <v>0.37600000000000011</v>
      </c>
      <c r="J210" s="21">
        <f t="shared" si="18"/>
        <v>6.0660000000000007</v>
      </c>
      <c r="K210" s="21">
        <f t="shared" si="19"/>
        <v>7</v>
      </c>
      <c r="L210" s="8" t="s">
        <v>926</v>
      </c>
      <c r="M210" s="10" t="s">
        <v>927</v>
      </c>
      <c r="N210" s="11" t="s">
        <v>928</v>
      </c>
      <c r="O210" s="11" t="s">
        <v>929</v>
      </c>
      <c r="P210" s="14"/>
      <c r="Q210" s="13"/>
      <c r="R210" s="13"/>
    </row>
    <row r="211" spans="1:18" x14ac:dyDescent="0.2">
      <c r="A211">
        <v>108109</v>
      </c>
      <c r="B211" s="8" t="s">
        <v>890</v>
      </c>
      <c r="C211" s="8" t="s">
        <v>930</v>
      </c>
      <c r="D211" s="8" t="s">
        <v>70</v>
      </c>
      <c r="E211" s="9">
        <v>3.81</v>
      </c>
      <c r="F211" s="9">
        <v>5.69</v>
      </c>
      <c r="G211" s="20">
        <f t="shared" si="15"/>
        <v>0.39197856173490131</v>
      </c>
      <c r="H211" s="21">
        <f t="shared" si="16"/>
        <v>1.8800000000000003</v>
      </c>
      <c r="I211" s="21">
        <f t="shared" si="17"/>
        <v>0.37600000000000011</v>
      </c>
      <c r="J211" s="21">
        <f t="shared" si="18"/>
        <v>6.0660000000000007</v>
      </c>
      <c r="K211" s="21">
        <f t="shared" si="19"/>
        <v>7</v>
      </c>
      <c r="L211" s="8" t="s">
        <v>931</v>
      </c>
      <c r="M211" s="10" t="s">
        <v>932</v>
      </c>
      <c r="N211" s="11" t="s">
        <v>933</v>
      </c>
      <c r="O211" s="11" t="s">
        <v>934</v>
      </c>
      <c r="P211" s="14"/>
      <c r="Q211" s="13"/>
      <c r="R211" s="13"/>
    </row>
    <row r="212" spans="1:18" x14ac:dyDescent="0.2">
      <c r="A212">
        <v>109101</v>
      </c>
      <c r="B212" s="8" t="s">
        <v>935</v>
      </c>
      <c r="C212" s="8" t="s">
        <v>936</v>
      </c>
      <c r="D212" s="8" t="s">
        <v>937</v>
      </c>
      <c r="E212" s="9">
        <v>9.5</v>
      </c>
      <c r="F212" s="9">
        <v>14.5</v>
      </c>
      <c r="G212" s="20">
        <f t="shared" si="15"/>
        <v>0.16066481994459836</v>
      </c>
      <c r="H212" s="21">
        <f t="shared" si="16"/>
        <v>5</v>
      </c>
      <c r="I212" s="21">
        <f t="shared" si="17"/>
        <v>1</v>
      </c>
      <c r="J212" s="21">
        <f t="shared" si="18"/>
        <v>15.5</v>
      </c>
      <c r="K212" s="21">
        <f t="shared" si="19"/>
        <v>16</v>
      </c>
      <c r="L212" s="8" t="s">
        <v>938</v>
      </c>
      <c r="M212" s="10" t="s">
        <v>939</v>
      </c>
      <c r="N212" s="11" t="s">
        <v>940</v>
      </c>
      <c r="O212" s="11" t="s">
        <v>941</v>
      </c>
      <c r="P212" s="14"/>
      <c r="Q212" s="13"/>
      <c r="R212" s="13"/>
    </row>
    <row r="213" spans="1:18" x14ac:dyDescent="0.2">
      <c r="A213">
        <v>109102</v>
      </c>
      <c r="B213" s="8" t="s">
        <v>935</v>
      </c>
      <c r="C213" s="8" t="s">
        <v>942</v>
      </c>
      <c r="D213" s="8" t="s">
        <v>892</v>
      </c>
      <c r="E213" s="9">
        <v>14</v>
      </c>
      <c r="F213" s="9">
        <v>20</v>
      </c>
      <c r="G213" s="20">
        <f t="shared" si="15"/>
        <v>0.10204081632653061</v>
      </c>
      <c r="H213" s="21">
        <f t="shared" si="16"/>
        <v>6</v>
      </c>
      <c r="I213" s="21">
        <f t="shared" si="17"/>
        <v>1.2000000000000002</v>
      </c>
      <c r="J213" s="21">
        <f t="shared" si="18"/>
        <v>21.2</v>
      </c>
      <c r="K213" s="21">
        <f t="shared" si="19"/>
        <v>22</v>
      </c>
      <c r="L213" s="8" t="s">
        <v>943</v>
      </c>
      <c r="M213" s="10" t="s">
        <v>944</v>
      </c>
      <c r="N213" s="11" t="s">
        <v>945</v>
      </c>
      <c r="O213" s="11" t="s">
        <v>946</v>
      </c>
      <c r="P213" s="14"/>
      <c r="Q213" s="13"/>
      <c r="R213" s="13"/>
    </row>
    <row r="214" spans="1:18" x14ac:dyDescent="0.2">
      <c r="A214">
        <v>109103</v>
      </c>
      <c r="B214" s="8" t="s">
        <v>935</v>
      </c>
      <c r="C214" s="8" t="s">
        <v>947</v>
      </c>
      <c r="D214" s="8" t="s">
        <v>948</v>
      </c>
      <c r="E214" s="9">
        <v>17</v>
      </c>
      <c r="F214" s="9">
        <v>25</v>
      </c>
      <c r="G214" s="20">
        <f t="shared" si="15"/>
        <v>8.6505190311418692E-2</v>
      </c>
      <c r="H214" s="21">
        <f t="shared" si="16"/>
        <v>8</v>
      </c>
      <c r="I214" s="21">
        <f t="shared" si="17"/>
        <v>1.6</v>
      </c>
      <c r="J214" s="21">
        <f t="shared" si="18"/>
        <v>26.6</v>
      </c>
      <c r="K214" s="21">
        <f t="shared" si="19"/>
        <v>27</v>
      </c>
      <c r="L214" s="8" t="s">
        <v>949</v>
      </c>
      <c r="M214" s="10" t="s">
        <v>950</v>
      </c>
      <c r="N214" s="11" t="s">
        <v>951</v>
      </c>
      <c r="O214" s="15"/>
      <c r="P214" s="14"/>
      <c r="Q214" s="13"/>
      <c r="R214" s="13"/>
    </row>
    <row r="215" spans="1:18" x14ac:dyDescent="0.2">
      <c r="A215">
        <v>109104</v>
      </c>
      <c r="B215" s="8" t="s">
        <v>935</v>
      </c>
      <c r="C215" s="8" t="s">
        <v>952</v>
      </c>
      <c r="D215" s="8" t="s">
        <v>30</v>
      </c>
      <c r="E215" s="9">
        <v>9</v>
      </c>
      <c r="F215" s="9">
        <v>16</v>
      </c>
      <c r="G215" s="20">
        <f t="shared" si="15"/>
        <v>0.19753086419753085</v>
      </c>
      <c r="H215" s="21">
        <f t="shared" si="16"/>
        <v>7</v>
      </c>
      <c r="I215" s="21">
        <f t="shared" si="17"/>
        <v>1.4000000000000001</v>
      </c>
      <c r="J215" s="21">
        <f t="shared" si="18"/>
        <v>17.399999999999999</v>
      </c>
      <c r="K215" s="21">
        <f t="shared" si="19"/>
        <v>18</v>
      </c>
      <c r="L215" s="8" t="s">
        <v>953</v>
      </c>
      <c r="M215" s="17"/>
      <c r="N215" s="15"/>
      <c r="O215" s="15"/>
      <c r="P215" s="14"/>
      <c r="Q215" s="13"/>
      <c r="R215" s="13"/>
    </row>
    <row r="216" spans="1:18" x14ac:dyDescent="0.2">
      <c r="A216">
        <v>109105</v>
      </c>
      <c r="B216" s="8" t="s">
        <v>935</v>
      </c>
      <c r="C216" s="8" t="s">
        <v>954</v>
      </c>
      <c r="D216" s="8" t="s">
        <v>955</v>
      </c>
      <c r="E216" s="9">
        <v>5.75</v>
      </c>
      <c r="F216" s="9">
        <v>9.4499999999999993</v>
      </c>
      <c r="G216" s="20">
        <f t="shared" si="15"/>
        <v>0.28582230623818522</v>
      </c>
      <c r="H216" s="21">
        <f t="shared" si="16"/>
        <v>3.6999999999999993</v>
      </c>
      <c r="I216" s="21">
        <f t="shared" si="17"/>
        <v>0.73999999999999988</v>
      </c>
      <c r="J216" s="21">
        <f t="shared" si="18"/>
        <v>10.19</v>
      </c>
      <c r="K216" s="21">
        <f t="shared" si="19"/>
        <v>11</v>
      </c>
      <c r="L216" s="8" t="s">
        <v>956</v>
      </c>
      <c r="M216" s="10" t="s">
        <v>957</v>
      </c>
      <c r="N216" s="11" t="s">
        <v>958</v>
      </c>
      <c r="O216" s="15"/>
      <c r="P216" s="14"/>
      <c r="Q216" s="13"/>
      <c r="R216" s="13"/>
    </row>
    <row r="217" spans="1:18" x14ac:dyDescent="0.2">
      <c r="A217">
        <v>109106</v>
      </c>
      <c r="B217" s="8" t="s">
        <v>935</v>
      </c>
      <c r="C217" s="8" t="s">
        <v>959</v>
      </c>
      <c r="D217" s="8" t="s">
        <v>955</v>
      </c>
      <c r="E217" s="9">
        <v>5.75</v>
      </c>
      <c r="F217" s="9">
        <v>9.4499999999999993</v>
      </c>
      <c r="G217" s="20">
        <f t="shared" si="15"/>
        <v>0.28582230623818522</v>
      </c>
      <c r="H217" s="21">
        <f t="shared" si="16"/>
        <v>3.6999999999999993</v>
      </c>
      <c r="I217" s="21">
        <f t="shared" si="17"/>
        <v>0.73999999999999988</v>
      </c>
      <c r="J217" s="21">
        <f t="shared" si="18"/>
        <v>10.19</v>
      </c>
      <c r="K217" s="21">
        <f t="shared" si="19"/>
        <v>11</v>
      </c>
      <c r="L217" s="8" t="s">
        <v>960</v>
      </c>
      <c r="M217" s="10" t="s">
        <v>961</v>
      </c>
      <c r="N217" s="11" t="s">
        <v>958</v>
      </c>
      <c r="O217" s="15"/>
      <c r="P217" s="14"/>
      <c r="Q217" s="13"/>
      <c r="R217" s="13"/>
    </row>
    <row r="218" spans="1:18" x14ac:dyDescent="0.2">
      <c r="A218">
        <v>109107</v>
      </c>
      <c r="B218" s="8" t="s">
        <v>935</v>
      </c>
      <c r="C218" s="8" t="s">
        <v>962</v>
      </c>
      <c r="D218" s="8" t="s">
        <v>955</v>
      </c>
      <c r="E218" s="9">
        <v>5.75</v>
      </c>
      <c r="F218" s="9">
        <v>9.4499999999999993</v>
      </c>
      <c r="G218" s="20">
        <f t="shared" si="15"/>
        <v>0.28582230623818522</v>
      </c>
      <c r="H218" s="21">
        <f t="shared" si="16"/>
        <v>3.6999999999999993</v>
      </c>
      <c r="I218" s="21">
        <f t="shared" si="17"/>
        <v>0.73999999999999988</v>
      </c>
      <c r="J218" s="21">
        <f t="shared" si="18"/>
        <v>10.19</v>
      </c>
      <c r="K218" s="21">
        <f t="shared" si="19"/>
        <v>11</v>
      </c>
      <c r="L218" s="8" t="s">
        <v>963</v>
      </c>
      <c r="M218" s="10" t="s">
        <v>964</v>
      </c>
      <c r="N218" s="11" t="s">
        <v>965</v>
      </c>
      <c r="O218" s="15"/>
      <c r="P218" s="14"/>
      <c r="Q218" s="13"/>
      <c r="R218" s="13"/>
    </row>
    <row r="219" spans="1:18" x14ac:dyDescent="0.2">
      <c r="A219">
        <v>109108</v>
      </c>
      <c r="B219" s="8" t="s">
        <v>935</v>
      </c>
      <c r="C219" s="8" t="s">
        <v>966</v>
      </c>
      <c r="D219" s="8" t="s">
        <v>955</v>
      </c>
      <c r="E219" s="9">
        <v>5.75</v>
      </c>
      <c r="F219" s="9">
        <v>9.4499999999999993</v>
      </c>
      <c r="G219" s="20">
        <f t="shared" si="15"/>
        <v>0.28582230623818522</v>
      </c>
      <c r="H219" s="21">
        <f t="shared" si="16"/>
        <v>3.6999999999999993</v>
      </c>
      <c r="I219" s="21">
        <f t="shared" si="17"/>
        <v>0.73999999999999988</v>
      </c>
      <c r="J219" s="21">
        <f t="shared" si="18"/>
        <v>10.19</v>
      </c>
      <c r="K219" s="21">
        <f t="shared" si="19"/>
        <v>11</v>
      </c>
      <c r="L219" s="8" t="s">
        <v>967</v>
      </c>
      <c r="M219" s="10" t="s">
        <v>968</v>
      </c>
      <c r="N219" s="11" t="s">
        <v>969</v>
      </c>
      <c r="O219" s="15"/>
      <c r="P219" s="14"/>
      <c r="Q219" s="13"/>
      <c r="R219" s="13"/>
    </row>
    <row r="220" spans="1:18" x14ac:dyDescent="0.2">
      <c r="A220">
        <v>109109</v>
      </c>
      <c r="B220" s="8" t="s">
        <v>935</v>
      </c>
      <c r="C220" s="8" t="s">
        <v>970</v>
      </c>
      <c r="D220" s="8" t="s">
        <v>955</v>
      </c>
      <c r="E220" s="9">
        <v>5.75</v>
      </c>
      <c r="F220" s="9">
        <v>9.4499999999999993</v>
      </c>
      <c r="G220" s="20">
        <f t="shared" si="15"/>
        <v>0.28582230623818522</v>
      </c>
      <c r="H220" s="21">
        <f t="shared" si="16"/>
        <v>3.6999999999999993</v>
      </c>
      <c r="I220" s="21">
        <f t="shared" si="17"/>
        <v>0.73999999999999988</v>
      </c>
      <c r="J220" s="21">
        <f t="shared" si="18"/>
        <v>10.19</v>
      </c>
      <c r="K220" s="21">
        <f t="shared" si="19"/>
        <v>11</v>
      </c>
      <c r="L220" s="8" t="s">
        <v>971</v>
      </c>
      <c r="M220" s="10" t="s">
        <v>972</v>
      </c>
      <c r="N220" s="11" t="s">
        <v>973</v>
      </c>
      <c r="O220" s="15"/>
      <c r="P220" s="14"/>
      <c r="Q220" s="13"/>
      <c r="R220" s="13"/>
    </row>
    <row r="221" spans="1:18" x14ac:dyDescent="0.2">
      <c r="A221">
        <v>109110</v>
      </c>
      <c r="B221" s="8" t="s">
        <v>935</v>
      </c>
      <c r="C221" s="8" t="s">
        <v>974</v>
      </c>
      <c r="D221" s="8" t="s">
        <v>349</v>
      </c>
      <c r="E221" s="9">
        <v>12</v>
      </c>
      <c r="F221" s="9">
        <v>18</v>
      </c>
      <c r="G221" s="20">
        <f t="shared" si="15"/>
        <v>0.125</v>
      </c>
      <c r="H221" s="21">
        <f t="shared" si="16"/>
        <v>6</v>
      </c>
      <c r="I221" s="21">
        <f t="shared" si="17"/>
        <v>1.2000000000000002</v>
      </c>
      <c r="J221" s="21">
        <f t="shared" si="18"/>
        <v>19.2</v>
      </c>
      <c r="K221" s="21">
        <f t="shared" si="19"/>
        <v>20</v>
      </c>
      <c r="L221" s="8" t="s">
        <v>975</v>
      </c>
      <c r="M221" s="10" t="s">
        <v>976</v>
      </c>
      <c r="N221" s="11" t="s">
        <v>977</v>
      </c>
      <c r="O221" s="11" t="s">
        <v>978</v>
      </c>
      <c r="P221" s="14"/>
      <c r="Q221" s="13"/>
      <c r="R221" s="13"/>
    </row>
    <row r="222" spans="1:18" x14ac:dyDescent="0.2">
      <c r="A222">
        <v>109111</v>
      </c>
      <c r="B222" s="8" t="s">
        <v>935</v>
      </c>
      <c r="C222" s="8" t="s">
        <v>979</v>
      </c>
      <c r="D222" s="8" t="s">
        <v>937</v>
      </c>
      <c r="E222" s="9">
        <v>16</v>
      </c>
      <c r="F222" s="9">
        <v>28</v>
      </c>
      <c r="G222" s="20">
        <f t="shared" si="15"/>
        <v>0.109375</v>
      </c>
      <c r="H222" s="21">
        <f t="shared" si="16"/>
        <v>12</v>
      </c>
      <c r="I222" s="21">
        <f t="shared" si="17"/>
        <v>2.4000000000000004</v>
      </c>
      <c r="J222" s="21">
        <f t="shared" si="18"/>
        <v>30.4</v>
      </c>
      <c r="K222" s="21">
        <f t="shared" si="19"/>
        <v>31</v>
      </c>
      <c r="L222" s="8" t="s">
        <v>980</v>
      </c>
      <c r="M222" s="10" t="s">
        <v>981</v>
      </c>
      <c r="N222" s="11" t="s">
        <v>982</v>
      </c>
      <c r="O222" s="11" t="s">
        <v>983</v>
      </c>
      <c r="P222" s="14"/>
      <c r="Q222" s="13"/>
      <c r="R222" s="13"/>
    </row>
    <row r="223" spans="1:18" x14ac:dyDescent="0.2">
      <c r="A223">
        <v>109112</v>
      </c>
      <c r="B223" s="8" t="s">
        <v>935</v>
      </c>
      <c r="C223" s="8" t="s">
        <v>984</v>
      </c>
      <c r="D223" s="8" t="s">
        <v>937</v>
      </c>
      <c r="E223" s="9">
        <v>12</v>
      </c>
      <c r="F223" s="9">
        <v>20</v>
      </c>
      <c r="G223" s="20">
        <f t="shared" si="15"/>
        <v>0.1388888888888889</v>
      </c>
      <c r="H223" s="21">
        <f t="shared" si="16"/>
        <v>8</v>
      </c>
      <c r="I223" s="21">
        <f t="shared" si="17"/>
        <v>1.6</v>
      </c>
      <c r="J223" s="21">
        <f t="shared" si="18"/>
        <v>21.6</v>
      </c>
      <c r="K223" s="21">
        <f t="shared" si="19"/>
        <v>22</v>
      </c>
      <c r="L223" s="8" t="s">
        <v>985</v>
      </c>
      <c r="M223" s="10" t="s">
        <v>986</v>
      </c>
      <c r="N223" s="15"/>
      <c r="O223" s="15"/>
      <c r="P223" s="14"/>
      <c r="Q223" s="13"/>
      <c r="R223" s="13"/>
    </row>
    <row r="224" spans="1:18" x14ac:dyDescent="0.2">
      <c r="A224">
        <v>109113</v>
      </c>
      <c r="B224" s="8" t="s">
        <v>935</v>
      </c>
      <c r="C224" s="8" t="s">
        <v>987</v>
      </c>
      <c r="D224" s="8" t="s">
        <v>349</v>
      </c>
      <c r="E224" s="9">
        <v>10.5</v>
      </c>
      <c r="F224" s="9">
        <v>17</v>
      </c>
      <c r="G224" s="20">
        <f t="shared" si="15"/>
        <v>0.15419501133786848</v>
      </c>
      <c r="H224" s="21">
        <f t="shared" si="16"/>
        <v>6.5</v>
      </c>
      <c r="I224" s="21">
        <f t="shared" si="17"/>
        <v>1.3</v>
      </c>
      <c r="J224" s="21">
        <f t="shared" si="18"/>
        <v>18.3</v>
      </c>
      <c r="K224" s="21">
        <f t="shared" si="19"/>
        <v>19</v>
      </c>
      <c r="L224" s="8" t="s">
        <v>988</v>
      </c>
      <c r="M224" s="10" t="s">
        <v>989</v>
      </c>
      <c r="N224" s="11" t="s">
        <v>990</v>
      </c>
      <c r="O224" s="11" t="s">
        <v>991</v>
      </c>
      <c r="P224" s="14"/>
      <c r="Q224" s="13"/>
      <c r="R224" s="13"/>
    </row>
    <row r="225" spans="1:18" x14ac:dyDescent="0.2">
      <c r="A225">
        <v>109114</v>
      </c>
      <c r="B225" s="8" t="s">
        <v>935</v>
      </c>
      <c r="C225" s="8" t="s">
        <v>992</v>
      </c>
      <c r="D225" s="8" t="s">
        <v>349</v>
      </c>
      <c r="E225" s="9">
        <v>11.5</v>
      </c>
      <c r="F225" s="9">
        <v>18</v>
      </c>
      <c r="G225" s="20">
        <f t="shared" si="15"/>
        <v>0.13610586011342155</v>
      </c>
      <c r="H225" s="21">
        <f t="shared" si="16"/>
        <v>6.5</v>
      </c>
      <c r="I225" s="21">
        <f t="shared" si="17"/>
        <v>1.3</v>
      </c>
      <c r="J225" s="21">
        <f t="shared" si="18"/>
        <v>19.3</v>
      </c>
      <c r="K225" s="21">
        <f t="shared" si="19"/>
        <v>20</v>
      </c>
      <c r="L225" s="8" t="s">
        <v>993</v>
      </c>
      <c r="M225" s="10" t="s">
        <v>994</v>
      </c>
      <c r="N225" s="11" t="s">
        <v>995</v>
      </c>
      <c r="O225" s="11" t="s">
        <v>996</v>
      </c>
      <c r="P225" s="14"/>
      <c r="Q225" s="13"/>
      <c r="R225" s="13"/>
    </row>
    <row r="226" spans="1:18" x14ac:dyDescent="0.2">
      <c r="A226">
        <v>109115</v>
      </c>
      <c r="B226" s="8" t="s">
        <v>935</v>
      </c>
      <c r="C226" s="8" t="s">
        <v>997</v>
      </c>
      <c r="D226" s="8" t="s">
        <v>349</v>
      </c>
      <c r="E226" s="9">
        <v>14</v>
      </c>
      <c r="F226" s="9">
        <v>22</v>
      </c>
      <c r="G226" s="20">
        <f t="shared" si="15"/>
        <v>0.11224489795918367</v>
      </c>
      <c r="H226" s="21">
        <f t="shared" si="16"/>
        <v>8</v>
      </c>
      <c r="I226" s="21">
        <f t="shared" si="17"/>
        <v>1.6</v>
      </c>
      <c r="J226" s="21">
        <f t="shared" si="18"/>
        <v>23.6</v>
      </c>
      <c r="K226" s="21">
        <f t="shared" si="19"/>
        <v>24</v>
      </c>
      <c r="L226" s="8" t="s">
        <v>998</v>
      </c>
      <c r="M226" s="10" t="s">
        <v>999</v>
      </c>
      <c r="N226" s="11" t="s">
        <v>1000</v>
      </c>
      <c r="O226" s="11" t="s">
        <v>1001</v>
      </c>
      <c r="P226" s="14"/>
      <c r="Q226" s="13"/>
      <c r="R226" s="13"/>
    </row>
    <row r="227" spans="1:18" x14ac:dyDescent="0.2">
      <c r="A227">
        <v>109116</v>
      </c>
      <c r="B227" s="8" t="s">
        <v>935</v>
      </c>
      <c r="C227" s="8" t="s">
        <v>1002</v>
      </c>
      <c r="D227" s="8" t="s">
        <v>349</v>
      </c>
      <c r="E227" s="9">
        <v>9.75</v>
      </c>
      <c r="F227" s="9">
        <v>16</v>
      </c>
      <c r="G227" s="20">
        <f t="shared" si="15"/>
        <v>0.16831032215647598</v>
      </c>
      <c r="H227" s="21">
        <f t="shared" si="16"/>
        <v>6.25</v>
      </c>
      <c r="I227" s="21">
        <f t="shared" si="17"/>
        <v>1.25</v>
      </c>
      <c r="J227" s="21">
        <f t="shared" si="18"/>
        <v>17.25</v>
      </c>
      <c r="K227" s="21">
        <f t="shared" si="19"/>
        <v>18</v>
      </c>
      <c r="L227" s="8" t="s">
        <v>1003</v>
      </c>
      <c r="M227" s="10" t="s">
        <v>1004</v>
      </c>
      <c r="N227" s="11" t="s">
        <v>1005</v>
      </c>
      <c r="O227" s="11" t="s">
        <v>1006</v>
      </c>
      <c r="P227" s="14"/>
      <c r="Q227" s="13"/>
      <c r="R227" s="13"/>
    </row>
    <row r="228" spans="1:18" x14ac:dyDescent="0.2">
      <c r="A228">
        <v>109117</v>
      </c>
      <c r="B228" s="8" t="s">
        <v>935</v>
      </c>
      <c r="C228" s="8" t="s">
        <v>1007</v>
      </c>
      <c r="D228" s="8" t="s">
        <v>349</v>
      </c>
      <c r="E228" s="9">
        <v>12</v>
      </c>
      <c r="F228" s="9">
        <v>18</v>
      </c>
      <c r="G228" s="20">
        <f t="shared" si="15"/>
        <v>0.125</v>
      </c>
      <c r="H228" s="21">
        <f t="shared" si="16"/>
        <v>6</v>
      </c>
      <c r="I228" s="21">
        <f t="shared" si="17"/>
        <v>1.2000000000000002</v>
      </c>
      <c r="J228" s="21">
        <f t="shared" si="18"/>
        <v>19.2</v>
      </c>
      <c r="K228" s="21">
        <f t="shared" si="19"/>
        <v>20</v>
      </c>
      <c r="L228" s="8" t="s">
        <v>1008</v>
      </c>
      <c r="M228" s="10" t="s">
        <v>1009</v>
      </c>
      <c r="N228" s="11" t="s">
        <v>1010</v>
      </c>
      <c r="O228" s="11" t="s">
        <v>1011</v>
      </c>
      <c r="P228" s="14"/>
      <c r="Q228" s="13"/>
      <c r="R228" s="13"/>
    </row>
    <row r="229" spans="1:18" x14ac:dyDescent="0.2">
      <c r="A229">
        <v>109118</v>
      </c>
      <c r="B229" s="8" t="s">
        <v>935</v>
      </c>
      <c r="C229" s="8" t="s">
        <v>1012</v>
      </c>
      <c r="D229" s="8" t="s">
        <v>349</v>
      </c>
      <c r="E229" s="9">
        <v>9.75</v>
      </c>
      <c r="F229" s="9">
        <v>16</v>
      </c>
      <c r="G229" s="20">
        <f t="shared" si="15"/>
        <v>0.16831032215647598</v>
      </c>
      <c r="H229" s="21">
        <f t="shared" si="16"/>
        <v>6.25</v>
      </c>
      <c r="I229" s="21">
        <f t="shared" si="17"/>
        <v>1.25</v>
      </c>
      <c r="J229" s="21">
        <f t="shared" si="18"/>
        <v>17.25</v>
      </c>
      <c r="K229" s="21">
        <f t="shared" si="19"/>
        <v>18</v>
      </c>
      <c r="L229" s="8" t="s">
        <v>1013</v>
      </c>
      <c r="M229" s="10" t="s">
        <v>1014</v>
      </c>
      <c r="N229" s="11" t="s">
        <v>1015</v>
      </c>
      <c r="O229" s="11" t="s">
        <v>1016</v>
      </c>
      <c r="P229" s="14"/>
      <c r="Q229" s="13"/>
      <c r="R229" s="13"/>
    </row>
    <row r="230" spans="1:18" x14ac:dyDescent="0.2">
      <c r="A230">
        <v>109119</v>
      </c>
      <c r="B230" s="8" t="s">
        <v>935</v>
      </c>
      <c r="C230" s="8" t="s">
        <v>1017</v>
      </c>
      <c r="D230" s="8" t="s">
        <v>349</v>
      </c>
      <c r="E230" s="9">
        <v>10</v>
      </c>
      <c r="F230" s="9">
        <v>17</v>
      </c>
      <c r="G230" s="20">
        <f t="shared" si="15"/>
        <v>0.16999999999999998</v>
      </c>
      <c r="H230" s="21">
        <f t="shared" si="16"/>
        <v>7</v>
      </c>
      <c r="I230" s="21">
        <f t="shared" si="17"/>
        <v>1.4000000000000001</v>
      </c>
      <c r="J230" s="21">
        <f t="shared" si="18"/>
        <v>18.399999999999999</v>
      </c>
      <c r="K230" s="21">
        <f t="shared" si="19"/>
        <v>19</v>
      </c>
      <c r="L230" s="8" t="s">
        <v>1018</v>
      </c>
      <c r="M230" s="10" t="s">
        <v>1019</v>
      </c>
      <c r="N230" s="11" t="s">
        <v>1020</v>
      </c>
      <c r="O230" s="11" t="s">
        <v>1021</v>
      </c>
      <c r="P230" s="14"/>
      <c r="Q230" s="13"/>
      <c r="R230" s="13"/>
    </row>
  </sheetData>
  <conditionalFormatting sqref="A1:A230">
    <cfRule type="duplicateValues" dxfId="1" priority="3"/>
    <cfRule type="duplicateValues" dxfId="0" priority="4"/>
  </conditionalFormatting>
  <hyperlinks>
    <hyperlink ref="M2" r:id="rId1" xr:uid="{EB83B4FE-DA6C-47A1-A76E-85EC8E2B52C5}"/>
    <hyperlink ref="M3" r:id="rId2" xr:uid="{55498869-8AE8-4C90-BDEF-5EF11E9FFC79}"/>
    <hyperlink ref="N2:P2" r:id="rId3" display="https://shop.avogel.ca/cdn/shop/products/herbamare-original-organic-herbed-sea-salt-615604_5000x.jpg?v=1658433320" xr:uid="{8AD23CAE-1CF0-439F-A889-FC49574A1524}"/>
    <hyperlink ref="N3:P3" r:id="rId4" display="https://shop.avogel.ca/cdn/shop/products/herbamare-original-organic-herbed-sea-salt-254615_5000x.jpg?v=1652345004" xr:uid="{7D14FEF1-6BF4-47F3-88C2-512A854148A4}"/>
    <hyperlink ref="M4" r:id="rId5" xr:uid="{4D504864-A707-40A2-81F1-DB234021D800}"/>
    <hyperlink ref="N4" r:id="rId6" xr:uid="{FF900612-122D-4551-8C19-A3112141A4DC}"/>
    <hyperlink ref="O4" r:id="rId7" xr:uid="{B2C8AB8F-6021-491F-BD60-BAC81BE379D6}"/>
    <hyperlink ref="M5" r:id="rId8" xr:uid="{7807C15C-A28B-4CF5-AA9C-971DFECB15DC}"/>
    <hyperlink ref="N5" r:id="rId9" xr:uid="{F88AFAAA-E9E1-4E3D-9751-FEFBAFA48417}"/>
    <hyperlink ref="M6" r:id="rId10" xr:uid="{C6409985-2880-4630-9340-5461A364A28F}"/>
    <hyperlink ref="N6" r:id="rId11" xr:uid="{EA7488CB-E76F-484B-A9A5-EF55A30DBB30}"/>
    <hyperlink ref="M8" r:id="rId12" xr:uid="{AD52E077-C316-4C0A-83F6-32E33E2B071C}"/>
    <hyperlink ref="N8" r:id="rId13" xr:uid="{B709CFC5-C68D-4A78-91B7-E956D3511C92}"/>
    <hyperlink ref="O8" r:id="rId14" xr:uid="{CEC210A9-A3A1-4093-9496-2B7927FBFAE0}"/>
    <hyperlink ref="M9" r:id="rId15" xr:uid="{2A53F1DE-025B-4297-BD15-6AF3BB8E5C4B}"/>
    <hyperlink ref="N9" r:id="rId16" xr:uid="{0B6513F7-29D4-4D04-9F40-E0DB28A98C78}"/>
    <hyperlink ref="M10" r:id="rId17" xr:uid="{4AA7C1FA-4FCA-4939-888E-FC28F4A24BB5}"/>
    <hyperlink ref="N10" r:id="rId18" xr:uid="{6525F5FE-7A19-44F9-A9D1-551CFE8D0CDB}"/>
    <hyperlink ref="M11" r:id="rId19" xr:uid="{2FA01DF8-2CD2-4376-A3C6-345B88FCFD7E}"/>
    <hyperlink ref="N11" r:id="rId20" xr:uid="{0B90FE92-E141-4937-8F93-19CFBA2AD46F}"/>
    <hyperlink ref="O11" r:id="rId21" xr:uid="{41098835-E093-4621-B46E-E2C6708E3715}"/>
    <hyperlink ref="M12" r:id="rId22" xr:uid="{745E585F-B3E1-4808-8825-B83876563707}"/>
    <hyperlink ref="N12" r:id="rId23" xr:uid="{CA0AB893-561A-4150-83FC-34B7533C215A}"/>
    <hyperlink ref="O12" r:id="rId24" xr:uid="{450C275C-7FE1-4F47-B597-D0E94F190427}"/>
    <hyperlink ref="M13" r:id="rId25" xr:uid="{6540A275-10CB-41D6-8189-B65E8988F9DE}"/>
    <hyperlink ref="N13" r:id="rId26" xr:uid="{975A3119-9F03-4118-8AEC-0F521A512450}"/>
    <hyperlink ref="O13" r:id="rId27" xr:uid="{6FD42DA0-57A1-4694-B5B9-C9D3C66C53F6}"/>
    <hyperlink ref="N14" r:id="rId28" xr:uid="{7593774B-1F5C-4C7E-881D-ABF4A4DDCC32}"/>
    <hyperlink ref="M14" r:id="rId29" xr:uid="{1A6186A8-FAEC-4918-BCE0-E29D1E71BA91}"/>
    <hyperlink ref="O15" r:id="rId30" xr:uid="{EAD41B6B-B7BD-4BA4-913D-30909ABEA4FD}"/>
    <hyperlink ref="N15" r:id="rId31" xr:uid="{1F05BBD7-143C-4A77-85A9-AD0C99DBB643}"/>
    <hyperlink ref="M15" r:id="rId32" xr:uid="{DAFCD92A-F4C5-4C56-AE54-697B5341238F}"/>
    <hyperlink ref="O16" r:id="rId33" xr:uid="{A5383B64-17CF-4BBE-80B6-5A310259DB16}"/>
    <hyperlink ref="N16" r:id="rId34" xr:uid="{3D6DA3E4-4586-49F9-949A-6A4619F1EC4D}"/>
    <hyperlink ref="M16" r:id="rId35" xr:uid="{A843885F-53CB-4D0B-AF99-C81E8CE16FA1}"/>
    <hyperlink ref="O17" r:id="rId36" xr:uid="{8FCD8643-D6AF-49F7-973A-232647909F69}"/>
    <hyperlink ref="N17" r:id="rId37" xr:uid="{23FE6FBE-28D3-4244-9D63-8B0CE10328B6}"/>
    <hyperlink ref="M17" r:id="rId38" xr:uid="{1A2237D1-86E6-4458-A10B-536D9A320ED2}"/>
    <hyperlink ref="O18" r:id="rId39" xr:uid="{81A37F72-24FB-4421-912A-196077024EA6}"/>
    <hyperlink ref="N18" r:id="rId40" xr:uid="{1361C04B-5567-429B-9E33-5B217E54F350}"/>
    <hyperlink ref="M18" r:id="rId41" xr:uid="{8B67E59E-DF2A-4A01-9519-6BD7902D9E31}"/>
    <hyperlink ref="M19" r:id="rId42" xr:uid="{B4C190E4-0441-44F4-8B4C-72520213ABC2}"/>
    <hyperlink ref="O20" r:id="rId43" xr:uid="{76BC458A-BDD5-4952-860A-A799660E1E6F}"/>
    <hyperlink ref="N20" r:id="rId44" xr:uid="{1544655F-6850-493B-918D-C54359506D19}"/>
    <hyperlink ref="M20" r:id="rId45" xr:uid="{753CC2DF-ED2E-4BDA-9593-4B6217480773}"/>
    <hyperlink ref="M21" r:id="rId46" xr:uid="{D931AE1C-F8E7-4E13-B8F8-A5114472E7BF}"/>
    <hyperlink ref="N22" r:id="rId47" xr:uid="{3AF8D27B-D55D-441B-9639-9233E9BEE1B8}"/>
    <hyperlink ref="M22" r:id="rId48" xr:uid="{0891063E-1A4C-465E-AF00-A1E422D9A743}"/>
    <hyperlink ref="N23" r:id="rId49" xr:uid="{E542E57F-B7D5-43E8-A8A8-1622056A99F2}"/>
    <hyperlink ref="M23" r:id="rId50" xr:uid="{5688AEA6-EB14-4D64-BFA8-90356C92D428}"/>
    <hyperlink ref="N25" r:id="rId51" xr:uid="{6690A32D-B7D4-4B75-99A8-2F7B49255202}"/>
    <hyperlink ref="N26" r:id="rId52" xr:uid="{0AC672CF-B722-45A6-B87E-49ED5C9EC156}"/>
    <hyperlink ref="M25" r:id="rId53" xr:uid="{A111C20E-A9B9-48DC-A890-F696CE0D2D10}"/>
    <hyperlink ref="M26" r:id="rId54" xr:uid="{B11DA956-E7C6-481F-A45B-93B28627BC90}"/>
    <hyperlink ref="N24" r:id="rId55" xr:uid="{8DB24673-B7E0-4455-B01F-CFBA5BA73A5D}"/>
    <hyperlink ref="M24" r:id="rId56" xr:uid="{6D0585E7-57F2-411A-9B25-5797E0E04A0A}"/>
    <hyperlink ref="N27" r:id="rId57" xr:uid="{B600D590-6B7E-4E31-A3CD-3DF14F224F4A}"/>
    <hyperlink ref="M27" r:id="rId58" xr:uid="{964A7D15-1E09-4A18-99E4-35A3371EBF1B}"/>
    <hyperlink ref="N28" r:id="rId59" xr:uid="{3CC0FAC7-97DA-40A5-B486-95BF965E7050}"/>
    <hyperlink ref="M28" r:id="rId60" xr:uid="{30FC80B4-87D1-4E51-80C2-5C3EE76C26B7}"/>
    <hyperlink ref="M29" r:id="rId61" xr:uid="{D7DF594D-7DA6-404D-9FBB-DAE89568D18A}"/>
    <hyperlink ref="N29" r:id="rId62" xr:uid="{B257479D-F998-45D3-AE73-0872ABEED5E2}"/>
    <hyperlink ref="N30" r:id="rId63" xr:uid="{8AB0AF65-97D4-4F21-8C9A-2875F0DB5BB9}"/>
    <hyperlink ref="M30" r:id="rId64" xr:uid="{497557C6-66CF-4A36-9966-EC5EE7CE1A6D}"/>
    <hyperlink ref="N31" r:id="rId65" xr:uid="{70223742-7845-4C96-B568-B4B20753FD54}"/>
    <hyperlink ref="M31" r:id="rId66" xr:uid="{93783602-DBD5-4EA2-BCEC-E5F969F84B42}"/>
    <hyperlink ref="M32" r:id="rId67" xr:uid="{3E9CF1CA-73E3-4F7C-B631-5717F919AB26}"/>
    <hyperlink ref="O32" r:id="rId68" xr:uid="{63768050-4843-4A53-BBE3-FF51282DEDFF}"/>
    <hyperlink ref="N32" r:id="rId69" xr:uid="{A869A8D1-3080-4CD4-A1AC-E9019244C067}"/>
    <hyperlink ref="O33" r:id="rId70" xr:uid="{3C9EB796-58BD-48A1-9779-E784A48EF574}"/>
    <hyperlink ref="N33" r:id="rId71" xr:uid="{246AE5C0-5CFC-4521-8A20-C5F160B75DEC}"/>
    <hyperlink ref="M33" r:id="rId72" xr:uid="{5C0C2C80-65F7-4DE3-9158-C9B10D57EEDC}"/>
    <hyperlink ref="N35" r:id="rId73" xr:uid="{DCB48CEE-4CA7-4C09-A583-72A99971F9C2}"/>
    <hyperlink ref="M35" r:id="rId74" xr:uid="{1CAB03C5-1A20-4F6E-8EDF-99BCB5F61862}"/>
    <hyperlink ref="N36" r:id="rId75" xr:uid="{26CFEE4C-BCBC-4A8E-BE56-AD7B81F41810}"/>
    <hyperlink ref="M36" r:id="rId76" xr:uid="{88026C24-E642-480D-B81E-163D9BDE268B}"/>
    <hyperlink ref="M37" r:id="rId77" xr:uid="{30FCFCE4-B25C-4CD2-82DC-09CAB191FC28}"/>
    <hyperlink ref="N37" r:id="rId78" xr:uid="{8AC5F0E8-3945-403B-BC89-D25D9CC68429}"/>
    <hyperlink ref="M38" r:id="rId79" xr:uid="{EC451ACA-E256-44E2-8B39-58866658AFEB}"/>
    <hyperlink ref="N38" r:id="rId80" xr:uid="{CEEF4209-9097-4A1D-ACF7-3D6DE9775F01}"/>
    <hyperlink ref="N39" r:id="rId81" xr:uid="{E51CBB44-F89C-438C-A757-7870D1E6345A}"/>
    <hyperlink ref="M39" r:id="rId82" xr:uid="{B48B17E5-11C1-46B3-B335-F8608300DB35}"/>
    <hyperlink ref="N40" r:id="rId83" xr:uid="{BA419D75-23F3-4F62-91B4-FA3CD887BA4B}"/>
    <hyperlink ref="M40" r:id="rId84" xr:uid="{053A049D-6FE4-4BDE-AEA3-4611288C9413}"/>
    <hyperlink ref="N41" r:id="rId85" xr:uid="{77AF79A1-3499-44D1-99DC-A7F01335DDD6}"/>
    <hyperlink ref="M41" r:id="rId86" xr:uid="{55B22532-6A99-432F-B942-3F520F081927}"/>
    <hyperlink ref="N42" r:id="rId87" xr:uid="{AE4004D3-F775-42AF-B392-ACC984569D65}"/>
    <hyperlink ref="M42" r:id="rId88" xr:uid="{E58BE737-A49F-402E-8B33-B3634B68C4DE}"/>
    <hyperlink ref="N43" r:id="rId89" xr:uid="{79DFFE8A-7347-405D-92D2-A400BD84EA74}"/>
    <hyperlink ref="M43" r:id="rId90" xr:uid="{51867F83-3B89-49A9-9F85-099A7FE300E1}"/>
    <hyperlink ref="N44" r:id="rId91" xr:uid="{BCDCD94C-0FED-468D-8F1E-3A3F7B7E0DC6}"/>
    <hyperlink ref="M44" r:id="rId92" xr:uid="{696481D3-E23E-4A2C-B0DA-2CBB9641CBA3}"/>
    <hyperlink ref="N45" r:id="rId93" xr:uid="{644ED921-DDF3-4739-A381-27B8867C7DE5}"/>
    <hyperlink ref="M45" r:id="rId94" xr:uid="{71B719BD-F466-4652-89A6-96ABC6DD2B6C}"/>
    <hyperlink ref="N46" r:id="rId95" xr:uid="{1C82A046-5BEF-4135-81B2-0E953B3019EE}"/>
    <hyperlink ref="M46" r:id="rId96" xr:uid="{2086B9DC-DBE9-4CD2-A28D-745C4191A065}"/>
    <hyperlink ref="N47" r:id="rId97" xr:uid="{4C6456D8-7679-469C-9841-7BD56A341951}"/>
    <hyperlink ref="M47" r:id="rId98" xr:uid="{A12D0AFC-A41C-4944-B088-69ABB8F357BB}"/>
    <hyperlink ref="N48" r:id="rId99" xr:uid="{248ECC21-3285-45B6-B619-3C000C2CDDB8}"/>
    <hyperlink ref="M48" r:id="rId100" xr:uid="{8A0235FD-88C8-41D8-AFF4-DCBD8F33B74E}"/>
    <hyperlink ref="N49" r:id="rId101" xr:uid="{F4FB4933-2557-45C1-9E5E-055A1B4A515E}"/>
    <hyperlink ref="M49" r:id="rId102" xr:uid="{DFD9D956-D01D-4877-875F-0146FC43F76D}"/>
    <hyperlink ref="N50" r:id="rId103" xr:uid="{4916E5DC-11F9-45C3-B41E-F8A1A9EC6BD6}"/>
    <hyperlink ref="M50" r:id="rId104" xr:uid="{1F17F59D-9241-4B53-82CE-57F106317F0A}"/>
    <hyperlink ref="N51" r:id="rId105" xr:uid="{924BEB18-F7A5-46F5-9A76-5C5E8507BD98}"/>
    <hyperlink ref="M51" r:id="rId106" xr:uid="{C044A3B7-89F4-48A5-B817-D63DD7329929}"/>
    <hyperlink ref="M52" r:id="rId107" xr:uid="{86249D1E-D6EC-45C4-A2D1-E451C573C29B}"/>
    <hyperlink ref="M53" r:id="rId108" xr:uid="{386B4541-F997-48AD-8498-9C9D5A06C8D8}"/>
    <hyperlink ref="M54" r:id="rId109" xr:uid="{1380DDFB-F5B5-4BD8-AAC1-FFC06F80CA99}"/>
    <hyperlink ref="N54" r:id="rId110" xr:uid="{4699B7B4-20F6-4D84-8C81-80D49A5D2697}"/>
    <hyperlink ref="N55" r:id="rId111" xr:uid="{FFC9CAC9-6F9A-45E1-B29F-34D76FB2AB60}"/>
    <hyperlink ref="M55" r:id="rId112" xr:uid="{A1816267-84B2-4C66-BF28-8BAC097F5BA0}"/>
    <hyperlink ref="N56" r:id="rId113" xr:uid="{6FC6E5D0-710A-40D4-BDF5-4F7E6981DF46}"/>
    <hyperlink ref="M56" r:id="rId114" xr:uid="{209272E5-4DB8-4065-8BAA-57F8962D0F63}"/>
    <hyperlink ref="O56" r:id="rId115" xr:uid="{2AB1DBE2-3BA5-4ACB-ACC8-28D3D9562DE0}"/>
    <hyperlink ref="O57" r:id="rId116" xr:uid="{F5CC9BEA-480B-4407-8B64-1AADEE9E0348}"/>
    <hyperlink ref="N57" r:id="rId117" xr:uid="{57C32780-8623-43BE-AA00-C17814EAEF2D}"/>
    <hyperlink ref="M57" r:id="rId118" xr:uid="{7E75BCC6-1FF1-4BD9-9734-62AEB605F860}"/>
    <hyperlink ref="N58" r:id="rId119" xr:uid="{6701DEED-107C-4513-9E66-9D96FDD69FCD}"/>
    <hyperlink ref="M58" r:id="rId120" xr:uid="{3D092344-B7A7-4D1A-BEB8-9918E99561C0}"/>
    <hyperlink ref="N59" r:id="rId121" xr:uid="{54D1D590-BC4E-4B6D-B1A4-78E0806D5CDC}"/>
    <hyperlink ref="M59" r:id="rId122" xr:uid="{5AF9D8B6-BAAA-4E42-8333-96AB899196AD}"/>
    <hyperlink ref="M60" r:id="rId123" xr:uid="{8DF44EE9-A663-41F1-9E21-0BF222BAA759}"/>
    <hyperlink ref="N61" r:id="rId124" xr:uid="{CC331AC6-C937-482D-A736-2A26A24C3277}"/>
    <hyperlink ref="M61" r:id="rId125" xr:uid="{1FB67571-BB2E-46D3-BFE8-6A239EB5E9DF}"/>
    <hyperlink ref="N62" r:id="rId126" xr:uid="{2D96A34D-9442-417B-BDFD-86DFE3D2307B}"/>
    <hyperlink ref="M62" r:id="rId127" xr:uid="{2662F3FF-6447-474D-A96E-4003609394DE}"/>
    <hyperlink ref="N63" r:id="rId128" xr:uid="{5484BBE5-1FB0-42A1-BB79-1A0E2BF17191}"/>
    <hyperlink ref="N64" r:id="rId129" xr:uid="{875AFC11-4096-45C4-8A43-DF6B3032DF7D}"/>
    <hyperlink ref="M63" r:id="rId130" xr:uid="{6E0F90E8-99A5-4BA5-8F39-118AA82E64F1}"/>
    <hyperlink ref="M64" r:id="rId131" xr:uid="{94D1D208-1553-4836-8855-BA91CDC43360}"/>
    <hyperlink ref="N65" r:id="rId132" xr:uid="{00811F37-A92F-4F0F-AE2D-42D049979937}"/>
    <hyperlink ref="M65" r:id="rId133" xr:uid="{921D6E41-385C-49D9-AFDF-DFA28BBAC003}"/>
    <hyperlink ref="N66" r:id="rId134" xr:uid="{F9C41DAD-7B0E-40D5-8B0C-A031B0EE1D35}"/>
    <hyperlink ref="M66" r:id="rId135" xr:uid="{CB06BBE8-B287-4CCA-8267-E1CA7B756F22}"/>
    <hyperlink ref="N67" r:id="rId136" xr:uid="{E0A72D55-A1FE-4023-8AC2-71E23CEF6918}"/>
    <hyperlink ref="M67" r:id="rId137" xr:uid="{B28A0180-9298-4EAF-B95E-6E4EEBCF2A70}"/>
    <hyperlink ref="N68" r:id="rId138" xr:uid="{86D37D2F-6BD9-4A79-B57B-B5F461021F06}"/>
    <hyperlink ref="M68" r:id="rId139" xr:uid="{5F86A8C4-F855-4C4C-85FC-015CEAB4A549}"/>
    <hyperlink ref="N69" r:id="rId140" xr:uid="{D4F9C0B2-BEA6-46D2-999E-01AFF010149D}"/>
    <hyperlink ref="M69" r:id="rId141" xr:uid="{8291669B-1097-41AB-84A2-51F9A042F59F}"/>
    <hyperlink ref="M70" r:id="rId142" xr:uid="{BAA34809-3E3B-4FB6-B857-C7783CA8A116}"/>
    <hyperlink ref="O71" r:id="rId143" xr:uid="{05C8A799-5B47-4B9D-A71D-C55D75C0B460}"/>
    <hyperlink ref="N71" r:id="rId144" xr:uid="{25F25810-6E2A-4CD1-A0FB-8C81DA5EF394}"/>
    <hyperlink ref="M71" r:id="rId145" xr:uid="{F8B48C07-BE1F-4A7C-A413-C84F5DB197A9}"/>
    <hyperlink ref="M105" r:id="rId146" xr:uid="{82D67AED-51D4-4893-AFC5-3C4227BC09DB}"/>
    <hyperlink ref="M106" r:id="rId147" xr:uid="{22682607-1FFF-47B9-B320-72C54212180A}"/>
    <hyperlink ref="M107" r:id="rId148" xr:uid="{8146D0AA-6461-49C6-A9FA-F8455B2ED121}"/>
    <hyperlink ref="M109" r:id="rId149" xr:uid="{2679F5DB-B45E-4E8F-ACB7-D96DE5EADCCE}"/>
    <hyperlink ref="M108" r:id="rId150" xr:uid="{1BBF1A5F-900D-4D23-A30A-B19028EDBBE0}"/>
    <hyperlink ref="N105" r:id="rId151" xr:uid="{291E4A77-94D7-4356-A84A-CD7AFD10B4F5}"/>
    <hyperlink ref="N107" r:id="rId152" xr:uid="{1FF8EE4C-6A5C-4044-B7B2-501BD0F4E2BB}"/>
    <hyperlink ref="N106" r:id="rId153" xr:uid="{4F9C3DC4-0804-4016-89A4-9457FEDA449C}"/>
    <hyperlink ref="N109" r:id="rId154" xr:uid="{DC765323-5880-45C4-B6F6-C5DEF100F909}"/>
    <hyperlink ref="O105" r:id="rId155" xr:uid="{AEA00ACE-8D58-463C-A42C-C0716539F8FA}"/>
    <hyperlink ref="O109" r:id="rId156" xr:uid="{24D9159E-9BBE-414C-8CB1-8F1C9AD7A375}"/>
    <hyperlink ref="O107" r:id="rId157" xr:uid="{C2E1D0C5-1826-4621-8248-BDA8C622DACE}"/>
    <hyperlink ref="O106" r:id="rId158" xr:uid="{012979EB-75DB-4901-AD95-DC3B6BAC161D}"/>
    <hyperlink ref="P107" r:id="rId159" xr:uid="{02B6AC3E-9E32-4A59-94B0-DA06E99E8261}"/>
    <hyperlink ref="M110" r:id="rId160" xr:uid="{2C3CB488-A400-4D3D-9318-6A1976348FA4}"/>
    <hyperlink ref="M111" r:id="rId161" xr:uid="{CAE85164-4A20-4DF9-BC88-9AC86EFDCFFC}"/>
    <hyperlink ref="O111" r:id="rId162" xr:uid="{7042B954-69CE-454F-898F-0B8A03246627}"/>
    <hyperlink ref="N111" r:id="rId163" xr:uid="{E4CCB0C6-F437-4EF4-BF6B-0065B5DC0C01}"/>
    <hyperlink ref="P112" r:id="rId164" xr:uid="{63E991A1-5D37-4F90-ABDF-7F438ADE1FE7}"/>
    <hyperlink ref="O112" r:id="rId165" xr:uid="{042DDF49-1804-4650-80DC-A853FB8F182D}"/>
    <hyperlink ref="N112" r:id="rId166" xr:uid="{8FCD06BD-C0E1-480B-A006-7FFEF869D13C}"/>
    <hyperlink ref="M112" r:id="rId167" xr:uid="{460238D1-68E1-431E-A639-F8490CE9B6BE}"/>
    <hyperlink ref="P113" r:id="rId168" xr:uid="{8DDE1356-2E19-48EC-8336-6944D060B6F0}"/>
    <hyperlink ref="O113" r:id="rId169" xr:uid="{2DF08293-7BE1-4ECE-AF88-2589F7114EDB}"/>
    <hyperlink ref="N113" r:id="rId170" xr:uid="{B2C06371-3E10-4BEA-B20D-F6C25811B63C}"/>
    <hyperlink ref="M113" r:id="rId171" xr:uid="{57B33D19-E69D-41B0-B058-A9CDB4E35E79}"/>
    <hyperlink ref="M114" r:id="rId172" xr:uid="{DAABC2E8-AB42-47ED-96FD-E1FABA41A2FB}"/>
    <hyperlink ref="M115" r:id="rId173" xr:uid="{B208D470-35DE-4C7F-B720-CF45C519AF94}"/>
    <hyperlink ref="O116" r:id="rId174" xr:uid="{569C6938-5958-4BB2-8E48-DB0E2C1DB3B1}"/>
    <hyperlink ref="N116" r:id="rId175" xr:uid="{B4949BAD-E6A4-4CFB-A347-A654602CDC68}"/>
    <hyperlink ref="M116" r:id="rId176" xr:uid="{D2253880-7A87-42BC-88C5-CE719206C078}"/>
    <hyperlink ref="O117" r:id="rId177" xr:uid="{61D8FBF4-6531-40A8-9B46-5ABE782BABDF}"/>
    <hyperlink ref="N117" r:id="rId178" xr:uid="{2559C396-EB2E-4101-9FD8-E09EFE5A3E71}"/>
    <hyperlink ref="M117" r:id="rId179" xr:uid="{562D95B7-B799-42D9-A983-1B9F109625CB}"/>
    <hyperlink ref="O118" r:id="rId180" xr:uid="{DCB81AD0-24A1-49FD-9A0D-720D9D79F1DA}"/>
    <hyperlink ref="N118" r:id="rId181" xr:uid="{B3A1AAB2-251A-4EC2-B51B-ACB1EEB82CA1}"/>
    <hyperlink ref="M118" r:id="rId182" xr:uid="{D77867E3-0B20-45CF-8872-E620C3E5F601}"/>
    <hyperlink ref="P119" r:id="rId183" xr:uid="{5E270662-2CDB-4BC3-BAC6-17739D63323D}"/>
    <hyperlink ref="O119" r:id="rId184" xr:uid="{C1C98FCD-A5BC-4FA4-A3F4-94CE0BB64DFF}"/>
    <hyperlink ref="N119" r:id="rId185" xr:uid="{4DBBE55E-19F1-4353-BE6B-DFFD71F7DAE4}"/>
    <hyperlink ref="M119" r:id="rId186" xr:uid="{A7F6A8DC-4250-42F3-AF86-C1B6845148E9}"/>
    <hyperlink ref="O120" r:id="rId187" xr:uid="{1105AE21-ACA9-4984-98C2-6371C12F58DB}"/>
    <hyperlink ref="N120" r:id="rId188" xr:uid="{09614804-5308-4A61-9F44-245F48442923}"/>
    <hyperlink ref="M120" r:id="rId189" xr:uid="{0D23A07F-7E4A-469D-898F-5BB764B0AD80}"/>
    <hyperlink ref="M121" r:id="rId190" xr:uid="{D640E343-396F-44AC-953E-8C7895F2B7BB}"/>
    <hyperlink ref="M122" r:id="rId191" xr:uid="{36ADE107-8A87-4D17-B0DA-C498B837B095}"/>
    <hyperlink ref="M123" r:id="rId192" xr:uid="{EA32FE16-C9C0-47DE-A361-0F50B1D4D8A8}"/>
    <hyperlink ref="M124" r:id="rId193" xr:uid="{93797EE3-CD25-45BB-84C8-74428FE28BEB}"/>
    <hyperlink ref="O124" r:id="rId194" xr:uid="{9272E27F-659E-4B72-A66D-7AEFC074A096}"/>
    <hyperlink ref="N124" r:id="rId195" xr:uid="{A298860E-2991-4DF6-A33B-A91A647F9CF8}"/>
    <hyperlink ref="P125" r:id="rId196" xr:uid="{45625052-09C3-4BA6-81EC-9408F5FC7CFE}"/>
    <hyperlink ref="O125" r:id="rId197" xr:uid="{96051E9A-295D-458C-A4A7-ABA238FC9CFA}"/>
    <hyperlink ref="N125" r:id="rId198" xr:uid="{EBBC3622-116D-4C04-A04C-39A56299CEE4}"/>
    <hyperlink ref="M125" r:id="rId199" xr:uid="{9F4C563F-78B2-42DF-A66D-ABA124F79939}"/>
    <hyperlink ref="O126" r:id="rId200" xr:uid="{DA154A28-3D09-42E6-B405-303592583BA8}"/>
    <hyperlink ref="N126" r:id="rId201" xr:uid="{32FD1B6D-65B1-476B-9C03-71E2EA970CC0}"/>
    <hyperlink ref="M126" r:id="rId202" xr:uid="{BA6AA9AC-A8D7-4BFB-B754-15C8E131A1D7}"/>
    <hyperlink ref="O127" r:id="rId203" xr:uid="{CAD1B09E-883E-4BAC-8BD3-73E0732F3C27}"/>
    <hyperlink ref="N127" r:id="rId204" xr:uid="{E0061D17-5078-4FE2-BDB8-71269034A7C6}"/>
    <hyperlink ref="M127" r:id="rId205" xr:uid="{89565B60-0C21-42EB-941F-71EF909A5F1E}"/>
    <hyperlink ref="O128" r:id="rId206" xr:uid="{CA4894AE-DAE1-43F4-96A5-26E8EA7697A6}"/>
    <hyperlink ref="N128" r:id="rId207" xr:uid="{092FB18D-AF3C-4672-90AC-6AACF6A54D49}"/>
    <hyperlink ref="M128" r:id="rId208" xr:uid="{0ED3C3F3-A808-4778-B7B0-33892A335483}"/>
    <hyperlink ref="N129" r:id="rId209" xr:uid="{2B092A42-B951-4490-838C-997406E195C3}"/>
    <hyperlink ref="M129" r:id="rId210" xr:uid="{3B9E447C-C0EE-4EB0-A0CA-C6D1FD040613}"/>
    <hyperlink ref="O129" r:id="rId211" xr:uid="{BFC846D0-68D6-47E3-8CFD-5DD181A0FE47}"/>
    <hyperlink ref="P130" r:id="rId212" xr:uid="{4451F08D-7958-4A64-941A-2DE742EFF4BC}"/>
    <hyperlink ref="N130" r:id="rId213" xr:uid="{0CA19800-2D9F-4C8D-9F4C-52D5BD15C3A3}"/>
    <hyperlink ref="M130" r:id="rId214" xr:uid="{EE7CF1A1-B318-4053-936B-E8C20E5347A0}"/>
    <hyperlink ref="O130" r:id="rId215" xr:uid="{A666694A-A9B0-4E79-A4D9-3052EE3DD8FE}"/>
    <hyperlink ref="P131" r:id="rId216" xr:uid="{46DFD4D3-647B-4F3D-BB44-1E151FE3D446}"/>
    <hyperlink ref="O131" r:id="rId217" xr:uid="{A39796E7-D976-4A97-A1A3-F4F98ADF8537}"/>
    <hyperlink ref="N131" r:id="rId218" xr:uid="{7097D5EA-917F-466E-9D58-941E2A23B9A0}"/>
    <hyperlink ref="M131" r:id="rId219" xr:uid="{B9C73991-7C79-4F8A-B883-6D58653C0026}"/>
    <hyperlink ref="O132" r:id="rId220" xr:uid="{623EBCCC-E363-44BC-A146-CDFC2CEC9665}"/>
    <hyperlink ref="N132" r:id="rId221" xr:uid="{61222297-8FDE-4A9C-BB21-EAD7A682531B}"/>
    <hyperlink ref="M132" r:id="rId222" xr:uid="{A2F4A2D5-9885-4515-A491-7793242885DE}"/>
    <hyperlink ref="M133" r:id="rId223" xr:uid="{1D996974-CB06-488A-B4F6-7B471AD0D3D8}"/>
    <hyperlink ref="O134" r:id="rId224" xr:uid="{BA59C98A-540C-4BE1-A48D-EEF894152AC2}"/>
    <hyperlink ref="N134" r:id="rId225" xr:uid="{932E45BE-852C-48F1-AA10-CC689153F1CA}"/>
    <hyperlink ref="M134" r:id="rId226" xr:uid="{B81B56E7-91A1-4D3C-8518-D25449DB4B7B}"/>
    <hyperlink ref="N135" r:id="rId227" xr:uid="{6123F215-C214-4535-8604-1AC27DCAE45A}"/>
    <hyperlink ref="O135" r:id="rId228" xr:uid="{A71BE7AF-CFF0-422C-9D93-820BFF4DEDD7}"/>
    <hyperlink ref="M135" r:id="rId229" xr:uid="{60ADE5C8-5440-4FC8-8214-5350279ED5AC}"/>
    <hyperlink ref="M136" r:id="rId230" xr:uid="{0E5BD0CC-894A-4C1F-BA76-22B78FAF1F6E}"/>
    <hyperlink ref="N137" r:id="rId231" xr:uid="{4EE52BC6-DAEC-4E27-8A86-C5A1D767522B}"/>
    <hyperlink ref="M137" r:id="rId232" xr:uid="{430F2E63-C3BD-4A9E-B8CF-360854BDA472}"/>
    <hyperlink ref="O138" r:id="rId233" xr:uid="{BCF6F786-EDB9-4FD2-9012-EFD1CBD0FE70}"/>
    <hyperlink ref="N138" r:id="rId234" xr:uid="{29640472-6DDB-4F08-91C2-C7DE9511B4E3}"/>
    <hyperlink ref="M138" r:id="rId235" xr:uid="{293C5B1B-5CFA-4A3F-B36D-01CE129E3449}"/>
    <hyperlink ref="O139" r:id="rId236" xr:uid="{4A5C18A5-3587-4378-B461-94366BF4120C}"/>
    <hyperlink ref="N139" r:id="rId237" xr:uid="{ED95E04B-4078-4F41-8683-F41D24EDBE3D}"/>
    <hyperlink ref="M139" r:id="rId238" xr:uid="{1A268C39-164E-45C7-8D2D-D63617E6F723}"/>
    <hyperlink ref="O140" r:id="rId239" xr:uid="{24A4FA09-FCDC-4767-9160-B7FA41954B3C}"/>
    <hyperlink ref="N140" r:id="rId240" xr:uid="{181E5611-77CC-4E17-9205-EFBDA28C8D58}"/>
    <hyperlink ref="M140" r:id="rId241" xr:uid="{DF9479E8-5F92-4C60-BB70-0193B80958D9}"/>
    <hyperlink ref="O141" r:id="rId242" xr:uid="{F5D64279-0EF9-45B6-A8C9-667AFDB0FE73}"/>
    <hyperlink ref="N141" r:id="rId243" xr:uid="{E76FFF6C-CE32-47FA-8100-5AB978CC8359}"/>
    <hyperlink ref="M141" r:id="rId244" xr:uid="{2591CCA2-E26E-4C40-9A8A-057B65A9E802}"/>
    <hyperlink ref="N142" r:id="rId245" xr:uid="{310181F4-09C9-4533-903B-F96D49DD8B84}"/>
    <hyperlink ref="M142" r:id="rId246" xr:uid="{41646F33-BCEB-4F7A-A0B6-B3098935E938}"/>
    <hyperlink ref="O143" r:id="rId247" xr:uid="{D420DB01-B0C3-4810-9F9E-251032313191}"/>
    <hyperlink ref="N143" r:id="rId248" xr:uid="{7D8DDB05-D41F-4D5A-8E81-ED24FF6F9BB9}"/>
    <hyperlink ref="M143" r:id="rId249" xr:uid="{D1848475-3030-4FC7-9857-8FD5764AE783}"/>
    <hyperlink ref="N144" r:id="rId250" xr:uid="{7405ECEC-380C-49B3-9D28-88C9533C8AF3}"/>
    <hyperlink ref="M144" r:id="rId251" xr:uid="{3868DB91-43E7-4113-BEB6-88C7D6F09937}"/>
    <hyperlink ref="N145" r:id="rId252" xr:uid="{C1D26807-3E07-4CF6-9F83-29B8488C907D}"/>
    <hyperlink ref="M145" r:id="rId253" xr:uid="{97030275-8C43-4EB0-8F10-8982B2FCDDD5}"/>
    <hyperlink ref="N146" r:id="rId254" xr:uid="{AC01FEBE-FFCC-41DE-82ED-A282528EB74D}"/>
    <hyperlink ref="M146" r:id="rId255" xr:uid="{051EB0F9-DED4-451A-8375-0E34EAA4DE10}"/>
    <hyperlink ref="N147" r:id="rId256" xr:uid="{691F474A-06FE-4C25-8FF7-50D317804214}"/>
    <hyperlink ref="M147" r:id="rId257" xr:uid="{C9236670-CB3E-4F51-A18A-47A91ED709EC}"/>
    <hyperlink ref="N148" r:id="rId258" xr:uid="{2941F216-A82D-4FB8-9AF8-E447E4E14A66}"/>
    <hyperlink ref="M148" r:id="rId259" xr:uid="{6A3F7349-9D86-4BCC-90C6-031CC0435166}"/>
    <hyperlink ref="N149" r:id="rId260" xr:uid="{28741139-864D-4F00-BDF9-D10EA69D591E}"/>
    <hyperlink ref="M149" r:id="rId261" xr:uid="{9CAF84D3-1C4E-4665-A3FB-A6B73DBF1737}"/>
    <hyperlink ref="P150" r:id="rId262" xr:uid="{F9278618-0DEE-4AA2-B5F3-B323A4FCA55A}"/>
    <hyperlink ref="O150" r:id="rId263" xr:uid="{60265DAA-FB0E-42AE-ABD5-6B98B6161D65}"/>
    <hyperlink ref="N150" r:id="rId264" xr:uid="{AAC48554-C8FC-42F0-8822-672D2C227588}"/>
    <hyperlink ref="M150" r:id="rId265" xr:uid="{2624C0A1-4098-4060-9B1A-671F72740C2C}"/>
    <hyperlink ref="O151" r:id="rId266" xr:uid="{41075698-E176-41DA-B850-B33173666FDB}"/>
    <hyperlink ref="N151" r:id="rId267" xr:uid="{EBC25349-F395-4CD7-AC44-CA1CA3224486}"/>
    <hyperlink ref="M151" r:id="rId268" xr:uid="{30D99B37-E3D5-46FF-BB0C-0F71A2457342}"/>
    <hyperlink ref="N152" r:id="rId269" xr:uid="{6C4A4FAE-C34C-4147-AEB8-132C5B0B6DEB}"/>
    <hyperlink ref="M152" r:id="rId270" xr:uid="{AE8DBE21-E90B-475B-A295-4DA4A0B84564}"/>
    <hyperlink ref="P154" r:id="rId271" xr:uid="{39C707DB-4F25-466B-9FC1-310A2C923338}"/>
    <hyperlink ref="O154" r:id="rId272" xr:uid="{724D2910-7A24-442D-88B5-8F5A59A78FBB}"/>
    <hyperlink ref="N154" r:id="rId273" xr:uid="{1A100176-EE0F-4466-B05E-63F6A96982FE}"/>
    <hyperlink ref="M154" r:id="rId274" xr:uid="{6DC1C1E4-5BD9-49F8-84DF-F9E4473D6F0A}"/>
    <hyperlink ref="M155" r:id="rId275" xr:uid="{E2F5455B-40D6-48C4-A710-B488EBE117CF}"/>
    <hyperlink ref="O155" r:id="rId276" xr:uid="{EE01904D-D6F5-42D9-8CBD-AAFE3460CB8C}"/>
    <hyperlink ref="N155" r:id="rId277" xr:uid="{E2D05DB8-A5AA-46AD-8C70-77DBE622523D}"/>
    <hyperlink ref="O156" r:id="rId278" xr:uid="{82052A95-2B55-49E3-B55F-8CD069AFF5D9}"/>
    <hyperlink ref="N156" r:id="rId279" xr:uid="{447399C6-271C-48B3-AD94-AC4039A6D383}"/>
    <hyperlink ref="M156" r:id="rId280" xr:uid="{506F4335-C16C-48E5-A564-BCD47D7C41D1}"/>
    <hyperlink ref="O157" r:id="rId281" xr:uid="{E758DF77-44EB-4C61-8260-BFF9E7B28ABC}"/>
    <hyperlink ref="N157" r:id="rId282" xr:uid="{5E96FE72-3500-4F72-AED2-CA14518E3D65}"/>
    <hyperlink ref="M157" r:id="rId283" xr:uid="{33F8036A-CC74-4CCD-AAAD-4726AFF40F3C}"/>
    <hyperlink ref="M158" r:id="rId284" xr:uid="{25653C0E-C0CC-4CA3-A563-EB96CE27D6DE}"/>
    <hyperlink ref="N158" r:id="rId285" xr:uid="{893B56C7-B205-4C00-B48B-7651BF4D94E5}"/>
    <hyperlink ref="N159" r:id="rId286" xr:uid="{BFD516B4-E9C5-4DA2-A7BF-FD4D40991230}"/>
    <hyperlink ref="M159" r:id="rId287" xr:uid="{F057E198-8121-4FEC-B8AC-0E8FD43DB84E}"/>
    <hyperlink ref="N160" r:id="rId288" xr:uid="{EAD58F1E-CEAF-4F42-9DF4-7DC939DD5741}"/>
    <hyperlink ref="M160" r:id="rId289" xr:uid="{0FF09E51-5C99-410C-9638-0F1B2A14B175}"/>
    <hyperlink ref="O161" r:id="rId290" xr:uid="{C407AA15-1B95-4118-922A-85845E396E50}"/>
    <hyperlink ref="N161" r:id="rId291" xr:uid="{9F5BA613-4173-4B5E-A0D0-8846A7488245}"/>
    <hyperlink ref="M161" r:id="rId292" xr:uid="{B74ADF69-C252-42D8-9C0D-D170EE9C1E37}"/>
    <hyperlink ref="N162" r:id="rId293" xr:uid="{AC466F7A-D83C-46DF-AE81-8AF979044123}"/>
    <hyperlink ref="M162" r:id="rId294" xr:uid="{5B6D48B0-2964-4D04-9089-8A8BE0BEFAB2}"/>
    <hyperlink ref="N165" r:id="rId295" xr:uid="{491E407B-5280-4FA2-97BE-53662E9EAE9D}"/>
    <hyperlink ref="M165" r:id="rId296" xr:uid="{76B55155-9D7C-430E-A5D0-5D875E3D7272}"/>
    <hyperlink ref="N163" r:id="rId297" xr:uid="{85D57C29-5031-4CED-AB1F-7B754B65AEF5}"/>
    <hyperlink ref="M163" r:id="rId298" xr:uid="{FB586405-D85E-4BDA-9E33-C6951575692A}"/>
    <hyperlink ref="N164" r:id="rId299" xr:uid="{48181266-D5DA-410D-909E-DA4FD7BB5FC8}"/>
    <hyperlink ref="M164" r:id="rId300" xr:uid="{1C215CCF-ADCE-4DD7-9742-B6E458E7B15D}"/>
    <hyperlink ref="O166" r:id="rId301" xr:uid="{088369AA-D6B3-4101-8E4E-3AD5CCD166E2}"/>
    <hyperlink ref="N167" r:id="rId302" xr:uid="{61B79842-D147-4E44-86F3-11FED884DFB9}"/>
    <hyperlink ref="M167" r:id="rId303" xr:uid="{41C4DD5E-3B4F-4EC9-A0EF-BB136FC627B4}"/>
    <hyperlink ref="N168" r:id="rId304" xr:uid="{617D91DC-7C35-423D-82C2-D5CE14F17DB2}"/>
    <hyperlink ref="M168" r:id="rId305" xr:uid="{8414E0B4-97B9-46D0-86CD-C78E84E6913F}"/>
    <hyperlink ref="P169" r:id="rId306" xr:uid="{8E3A5B51-34C2-4419-A538-6B4537D1BEC2}"/>
    <hyperlink ref="N169" r:id="rId307" xr:uid="{BD24BECF-DDFE-4F38-94DF-25C1EE6AC1C9}"/>
    <hyperlink ref="M169" r:id="rId308" xr:uid="{99360AC2-41A2-40B6-A254-F0CDF7524416}"/>
    <hyperlink ref="O169" r:id="rId309" xr:uid="{F446D746-B1AB-4F92-B362-3BA24CFD4F28}"/>
    <hyperlink ref="N170" r:id="rId310" xr:uid="{D356145D-C8A2-4B09-896D-7192FEEB9218}"/>
    <hyperlink ref="M170" r:id="rId311" xr:uid="{122DF2B8-DAC7-4C54-B5BA-CFEBCA4C69D6}"/>
    <hyperlink ref="P171" r:id="rId312" xr:uid="{C820F146-DB84-4EDB-8B8E-21E2D90E5529}"/>
    <hyperlink ref="O171" r:id="rId313" xr:uid="{4175C0F5-48B3-43DF-B6E8-FF18C9132EC9}"/>
    <hyperlink ref="N171" r:id="rId314" xr:uid="{1A2AACCC-9056-4ACF-BA60-319D7E435224}"/>
    <hyperlink ref="M171" r:id="rId315" xr:uid="{0E8DB804-4D08-4663-BBCD-8C3F69879174}"/>
    <hyperlink ref="N172" r:id="rId316" xr:uid="{D05D8DC6-238D-41F5-8CE7-F60A83AAF581}"/>
    <hyperlink ref="M172" r:id="rId317" xr:uid="{64260AB3-7DCA-405B-8555-BE27311F683A}"/>
    <hyperlink ref="N173" r:id="rId318" xr:uid="{7932B900-30EE-4F50-87F0-C1BCF3456D7A}"/>
    <hyperlink ref="M173" r:id="rId319" xr:uid="{34B31A8A-9C6A-4CFE-B799-D62CEB9562B6}"/>
    <hyperlink ref="N174" r:id="rId320" xr:uid="{7380BBB6-A8BB-4EF4-8C8A-2D392DF9DD22}"/>
    <hyperlink ref="N175" r:id="rId321" xr:uid="{55E81C13-BCD4-45B2-BB71-DCCE51A30EC2}"/>
    <hyperlink ref="M175" r:id="rId322" xr:uid="{AF991A85-4CDD-41D2-ACF9-FC35BC0F6F36}"/>
    <hyperlink ref="M174" r:id="rId323" xr:uid="{5EFC78BE-0349-4FD8-AF1E-941749C3356C}"/>
    <hyperlink ref="O176" r:id="rId324" xr:uid="{82F3E945-C5C2-4AF0-8362-7B2586D142AF}"/>
    <hyperlink ref="P177" r:id="rId325" xr:uid="{073685C1-2B04-4D66-AEAD-C91BB7C9C849}"/>
    <hyperlink ref="O177" r:id="rId326" xr:uid="{7900812B-81E6-4724-952D-E03E66E218D1}"/>
    <hyperlink ref="N177" r:id="rId327" xr:uid="{976670DD-6D57-407E-95FB-D8B417DB66BC}"/>
    <hyperlink ref="M177" r:id="rId328" xr:uid="{C9AF81D8-36B9-452D-AF8A-264EEBF16A00}"/>
    <hyperlink ref="O178" r:id="rId329" xr:uid="{F9209471-D0AA-4E93-AAFD-DD3FC772C76C}"/>
    <hyperlink ref="N178" r:id="rId330" xr:uid="{2A925A51-E4B0-466D-AF02-32FECD2EBA89}"/>
    <hyperlink ref="M178" r:id="rId331" xr:uid="{B0C947A0-A224-4A2C-800D-42B89E54BFCE}"/>
    <hyperlink ref="O179" r:id="rId332" xr:uid="{0D4FDF88-0EE8-4DD9-8698-E12C509B9DB6}"/>
    <hyperlink ref="N179" r:id="rId333" xr:uid="{9AEEE0DA-061C-4D76-9546-FE423D3E25A1}"/>
    <hyperlink ref="M179" r:id="rId334" xr:uid="{C71F8974-DC76-4CC4-9BC0-F6AA0A22746B}"/>
    <hyperlink ref="O180" r:id="rId335" xr:uid="{5E4AE0F6-8878-48EF-8D65-6F4CE0CAE9D7}"/>
    <hyperlink ref="N180" r:id="rId336" xr:uid="{5DFC15B0-DBB0-46D1-9607-4027621F36A7}"/>
    <hyperlink ref="M180" r:id="rId337" xr:uid="{5875E029-C6F3-4478-96B3-64BA61DD387B}"/>
    <hyperlink ref="O181" r:id="rId338" xr:uid="{4ACE8DB3-E424-4C7A-A963-37A4150044D2}"/>
    <hyperlink ref="N181" r:id="rId339" xr:uid="{3AFE174E-297B-4658-8C69-CCC97642BA80}"/>
    <hyperlink ref="M181" r:id="rId340" xr:uid="{B8984E22-6AF3-415F-A9CE-043276B39B8C}"/>
    <hyperlink ref="P182" r:id="rId341" xr:uid="{7825DE6F-6B8F-46E2-8D06-404BA9BBC841}"/>
    <hyperlink ref="O182" r:id="rId342" xr:uid="{1B13D20C-ED19-4624-9364-A231BF997C40}"/>
    <hyperlink ref="N182" r:id="rId343" xr:uid="{2E1CD8D8-0DE8-4022-8757-766C4F60F69B}"/>
    <hyperlink ref="M182" r:id="rId344" xr:uid="{3093E9AB-8D78-41FE-A0FA-7ED6E4B6C8D7}"/>
    <hyperlink ref="P183" r:id="rId345" xr:uid="{A94D6214-7801-483F-ABC7-31A54D5A4D4A}"/>
    <hyperlink ref="O183" r:id="rId346" xr:uid="{85DEE1CD-A97A-4EF4-9C34-3237C36B824E}"/>
    <hyperlink ref="N183" r:id="rId347" xr:uid="{EBBC8538-43E2-4FA2-B03F-2428A79CE47F}"/>
    <hyperlink ref="M183" r:id="rId348" xr:uid="{4EFBB4C2-89B0-4033-AC4F-837B1D482E76}"/>
    <hyperlink ref="N184" r:id="rId349" xr:uid="{598B05F2-2EBA-423C-84AA-F834F702FB03}"/>
    <hyperlink ref="M184" r:id="rId350" xr:uid="{D25D992B-2730-4DD2-8D78-D365647B09BE}"/>
    <hyperlink ref="N186" r:id="rId351" xr:uid="{0D2BBE1B-A359-4699-BC30-730467669E82}"/>
    <hyperlink ref="M186" r:id="rId352" xr:uid="{CA05C81D-1E25-4977-885D-38AA5902C090}"/>
    <hyperlink ref="N187" r:id="rId353" xr:uid="{A58EE81F-A748-4655-BDA9-431A9CD86082}"/>
    <hyperlink ref="M187" r:id="rId354" xr:uid="{4F1B9593-01F6-4D47-A875-57599880701F}"/>
    <hyperlink ref="N188" r:id="rId355" xr:uid="{4D5D24CF-A292-4263-BC2C-0BE08F4A65C9}"/>
    <hyperlink ref="M188" r:id="rId356" xr:uid="{DB97A7E4-70CE-439F-B4FB-1FE41D96D5AF}"/>
    <hyperlink ref="N189" r:id="rId357" xr:uid="{9451177F-8F35-402A-8557-C0BD02009060}"/>
    <hyperlink ref="M189" r:id="rId358" xr:uid="{033B8FB3-AA76-40F3-BB70-33D25F57C610}"/>
    <hyperlink ref="N190" r:id="rId359" xr:uid="{E114798D-D424-4E09-811E-31CC94345377}"/>
    <hyperlink ref="M190" r:id="rId360" xr:uid="{9B8964FC-E6D8-44D4-97BD-1D5E7653C906}"/>
    <hyperlink ref="N191" r:id="rId361" xr:uid="{8E654CC9-2D61-448C-BFB7-66DC397469CF}"/>
    <hyperlink ref="M191" r:id="rId362" xr:uid="{0F218DF2-6AB5-4D92-8192-651C19B80CBC}"/>
    <hyperlink ref="M193" r:id="rId363" xr:uid="{6A9B957A-F393-4140-80F7-7B44786A7E7A}"/>
    <hyperlink ref="M192" r:id="rId364" xr:uid="{BBFAE891-AA65-4967-97B0-6F93FDB352D6}"/>
    <hyperlink ref="N192" r:id="rId365" xr:uid="{86F7E65F-EAAC-4A7F-9575-2476EFD9DAF1}"/>
    <hyperlink ref="N194" r:id="rId366" xr:uid="{DEFF0BFE-E370-42CA-87FB-2F983A6839FF}"/>
    <hyperlink ref="M194" r:id="rId367" xr:uid="{67C43656-BDA1-4934-9D1C-5031A7EB21B1}"/>
    <hyperlink ref="N195" r:id="rId368" xr:uid="{1653A822-1B69-4AE5-8B6F-10A864BE7067}"/>
    <hyperlink ref="M195" r:id="rId369" xr:uid="{B7905DF0-CA62-4B04-BE86-C4B71AD6B637}"/>
    <hyperlink ref="O196" r:id="rId370" xr:uid="{9C06D808-C979-4DBE-A770-D675B75EE5BF}"/>
    <hyperlink ref="N196" r:id="rId371" xr:uid="{3C36D6D7-EF13-451C-85A1-2FA5E8C9914C}"/>
    <hyperlink ref="M196" r:id="rId372" xr:uid="{C40B1FEF-8320-44FD-B8BC-04BA1C2862DF}"/>
    <hyperlink ref="N198" r:id="rId373" xr:uid="{5635C5DA-D8B0-4E3E-A71A-499F60E65176}"/>
    <hyperlink ref="M198" r:id="rId374" xr:uid="{E39125CF-746B-4ACF-A14A-A843CBD3923C}"/>
    <hyperlink ref="N199" r:id="rId375" xr:uid="{002B397A-D9C5-4697-9769-4BB312308BCF}"/>
    <hyperlink ref="M199" r:id="rId376" xr:uid="{B11DC894-02FB-4437-83C5-BCE8F81EA814}"/>
    <hyperlink ref="N200" r:id="rId377" xr:uid="{96455BBD-6CB4-4224-B216-522EB39A8FD4}"/>
    <hyperlink ref="M200" r:id="rId378" xr:uid="{05A644BE-3F1D-4443-840F-028DA200F941}"/>
    <hyperlink ref="O201" r:id="rId379" xr:uid="{EC1AC76F-6D66-4255-8381-9C581223F14C}"/>
    <hyperlink ref="N201" r:id="rId380" xr:uid="{026FAC43-4F8E-48BA-9534-9FFEA772A184}"/>
    <hyperlink ref="M201" r:id="rId381" xr:uid="{D8DC9A39-1902-4D47-8027-238B8CCC7D4F}"/>
    <hyperlink ref="N202" r:id="rId382" xr:uid="{4BE70FD9-279F-4A59-AD47-5B535195F93A}"/>
    <hyperlink ref="M202" r:id="rId383" xr:uid="{3B6FBEC1-0527-4772-AA10-0FBF0F6A94EF}"/>
    <hyperlink ref="P203" r:id="rId384" xr:uid="{CAD6FDD8-81E9-4B70-B5E2-C9E4396A3DB8}"/>
    <hyperlink ref="O203" r:id="rId385" xr:uid="{06AA8EC2-5FEA-469A-9E69-CAAC36616BFE}"/>
    <hyperlink ref="N203" r:id="rId386" xr:uid="{1EF9FB93-1B97-425F-9856-A67A45FCDAE5}"/>
    <hyperlink ref="M203" r:id="rId387" xr:uid="{665D09FF-D90F-47A8-BFF4-ED7BDD56E966}"/>
    <hyperlink ref="O204" r:id="rId388" xr:uid="{0E0BF92C-B42A-49FC-84DE-58453A1FF568}"/>
    <hyperlink ref="N204" r:id="rId389" xr:uid="{F7CF6983-A6EE-467A-BA3A-41D372F51FB0}"/>
    <hyperlink ref="M204" r:id="rId390" xr:uid="{928C8988-75EC-4BC5-B479-D1C61752396D}"/>
    <hyperlink ref="N205" r:id="rId391" xr:uid="{0613D29C-E5BF-457D-B44B-F61011F80E5F}"/>
    <hyperlink ref="M205" r:id="rId392" xr:uid="{959174A1-7AFA-4977-B7C1-BC1728538BFB}"/>
    <hyperlink ref="P206" r:id="rId393" xr:uid="{A9AD3C07-408E-4070-BDC6-A67CFAA2545F}"/>
    <hyperlink ref="O206" r:id="rId394" xr:uid="{6C33C43E-5001-4E19-9DF8-A5CDD37144D5}"/>
    <hyperlink ref="N206" r:id="rId395" xr:uid="{443C3C45-243C-4D22-9E51-E921849056F4}"/>
    <hyperlink ref="M206" r:id="rId396" xr:uid="{90B7CE95-F427-499D-AF13-0EA8C69648F5}"/>
    <hyperlink ref="P208" r:id="rId397" xr:uid="{CC5F43DB-CC50-49E4-82DC-2367D61F3B07}"/>
    <hyperlink ref="O208" r:id="rId398" xr:uid="{AB7D1DD3-BAC6-4532-B671-CDF104015962}"/>
    <hyperlink ref="N208" r:id="rId399" xr:uid="{1B7BD514-267C-4414-8A6B-431392A70B02}"/>
    <hyperlink ref="M208" r:id="rId400" xr:uid="{40B399BC-AD65-40EA-9DAD-C7A87687A7F0}"/>
    <hyperlink ref="O211" r:id="rId401" xr:uid="{85E62192-3F5E-4116-9D1C-E94DA4A3B513}"/>
    <hyperlink ref="N211" r:id="rId402" xr:uid="{6D02371C-0BAF-473B-9ABE-2B5636133061}"/>
    <hyperlink ref="M211" r:id="rId403" xr:uid="{43198AC6-5600-4388-A4FB-5E5EF85B88DD}"/>
    <hyperlink ref="M209" r:id="rId404" xr:uid="{A111677F-3545-4FA7-AD18-E1FF2D82DADA}"/>
    <hyperlink ref="O210" r:id="rId405" xr:uid="{E56DA223-F78A-48F6-B81D-0C62EAF31D85}"/>
    <hyperlink ref="N210" r:id="rId406" xr:uid="{979B9C9B-7CAE-4102-B7A3-75503A4F87EB}"/>
    <hyperlink ref="M210" r:id="rId407" xr:uid="{DBD38CB4-1F2D-4253-B732-6314122CEE5C}"/>
    <hyperlink ref="M207" r:id="rId408" xr:uid="{A8167F56-00E3-4AD1-9D3A-9B970EEAB9FD}"/>
    <hyperlink ref="O212" r:id="rId409" xr:uid="{A8B97F11-4447-4A07-868D-356B0BEEC4BB}"/>
    <hyperlink ref="N212" r:id="rId410" xr:uid="{82EA939F-DCE7-43B5-930E-A0A5C06728E4}"/>
    <hyperlink ref="M212" r:id="rId411" xr:uid="{A8A86B92-792B-4C81-A421-70EA77060488}"/>
    <hyperlink ref="O213" r:id="rId412" xr:uid="{9CE933AD-7892-4DDA-9A18-84EF9A8B8CBC}"/>
    <hyperlink ref="N213" r:id="rId413" xr:uid="{5426016A-EEB5-44DD-A5BE-3429E84F7D91}"/>
    <hyperlink ref="M213" r:id="rId414" xr:uid="{1E737BB5-160A-45B8-A524-1679D8B76C68}"/>
    <hyperlink ref="N214" r:id="rId415" xr:uid="{B963AB0C-0A57-425C-A124-020C2E8B974A}"/>
    <hyperlink ref="M214" r:id="rId416" xr:uid="{B629BBD5-43E0-4674-83ED-0BDBC05B21FC}"/>
    <hyperlink ref="M216" r:id="rId417" xr:uid="{5753A4DE-BE86-4DC1-9E7C-AB9478F29489}"/>
    <hyperlink ref="N216" r:id="rId418" xr:uid="{F566CA68-1337-4518-B41A-1A74235A43E7}"/>
    <hyperlink ref="N218" r:id="rId419" xr:uid="{DB71DB89-63D2-45DD-B3D4-696C718906C6}"/>
    <hyperlink ref="M218" r:id="rId420" xr:uid="{83F2DBE6-42EA-4A98-8332-A9E3095A90A1}"/>
    <hyperlink ref="N217" r:id="rId421" xr:uid="{7983390C-6DEB-4FD1-8253-A349C613D018}"/>
    <hyperlink ref="M217" r:id="rId422" xr:uid="{53F70563-6E49-41F2-A987-6E616E9E0443}"/>
    <hyperlink ref="M220" r:id="rId423" xr:uid="{227318B5-8971-47CA-92B0-951019C3E12A}"/>
    <hyperlink ref="N220" r:id="rId424" xr:uid="{6541130A-AC81-474A-8A6A-4BFD31ED1BE4}"/>
    <hyperlink ref="N219" r:id="rId425" xr:uid="{BE07D3AC-65D1-433E-86AC-4AE5E43D5735}"/>
    <hyperlink ref="M219" r:id="rId426" xr:uid="{BCA25A61-AFB6-4903-ABC9-15037EBEB943}"/>
    <hyperlink ref="M221" r:id="rId427" xr:uid="{15A0082B-A19A-4771-991A-44A58DB8F05E}"/>
    <hyperlink ref="O221" r:id="rId428" xr:uid="{6BD4BEF2-9984-4F00-A87F-A2601108583F}"/>
    <hyperlink ref="N221" r:id="rId429" xr:uid="{0FCE5A64-8694-4D82-A1BC-C7322093DA98}"/>
    <hyperlink ref="O222" r:id="rId430" xr:uid="{3295AF0A-E023-42E1-BAB1-949C8A260CB9}"/>
    <hyperlink ref="N222" r:id="rId431" xr:uid="{6D82B9A2-A46A-4D90-9A4A-5EE8F5B515B8}"/>
    <hyperlink ref="M222" r:id="rId432" xr:uid="{6608EF17-24E6-4D4C-9686-B6AB87757935}"/>
    <hyperlink ref="O225" r:id="rId433" xr:uid="{B30C6261-3852-4411-B9F6-C9E96B63B8D7}"/>
    <hyperlink ref="N225" r:id="rId434" xr:uid="{0AF00AE9-57A5-495D-AD35-B507751662A4}"/>
    <hyperlink ref="M225" r:id="rId435" xr:uid="{C6B46A93-DC41-4DB9-953F-6F5041D5D124}"/>
    <hyperlink ref="O224" r:id="rId436" xr:uid="{ECEF7BB4-42AA-40B3-B5F9-7E5E7D100D7A}"/>
    <hyperlink ref="N224" r:id="rId437" xr:uid="{935C02A3-606D-4639-B207-50075EF785B8}"/>
    <hyperlink ref="M224" r:id="rId438" xr:uid="{1D704D36-CD46-4782-A73A-1260201EAE74}"/>
    <hyperlink ref="M223" r:id="rId439" xr:uid="{0511F4C6-56F0-45EE-B88B-EB537D064382}"/>
    <hyperlink ref="O226" r:id="rId440" xr:uid="{3607BE55-AF06-4E4E-B861-4E33BEB06E1A}"/>
    <hyperlink ref="N226" r:id="rId441" xr:uid="{95BAE5E4-6788-49EB-B7F6-A0CFEE683089}"/>
    <hyperlink ref="M226" r:id="rId442" xr:uid="{6239D573-7BB9-4D7D-9AFD-CC5A52BD791D}"/>
    <hyperlink ref="O227" r:id="rId443" xr:uid="{A7B07DF6-1FE8-42A5-86A6-96D52A3C9AAE}"/>
    <hyperlink ref="N227" r:id="rId444" xr:uid="{5F4FA4F6-9236-4E6D-A8B3-3166EFE380A4}"/>
    <hyperlink ref="M227" r:id="rId445" xr:uid="{04D72C6C-6C70-45EC-96F4-56F8E9D47E47}"/>
    <hyperlink ref="O228" r:id="rId446" xr:uid="{C21627B6-FB98-4039-B2F0-7F88B0E79A3A}"/>
    <hyperlink ref="N228" r:id="rId447" xr:uid="{4E39FEFE-433F-4560-ADF2-4B99DFC9D2AB}"/>
    <hyperlink ref="M228" r:id="rId448" xr:uid="{ADECF772-25CE-4179-A376-7162E36B00C2}"/>
    <hyperlink ref="O229" r:id="rId449" xr:uid="{F101E6EC-3BF0-4FD7-8E8F-F47C382F7202}"/>
    <hyperlink ref="N229" r:id="rId450" xr:uid="{5AF8B576-BB39-49EE-8C04-D21C53135F48}"/>
    <hyperlink ref="M229" r:id="rId451" xr:uid="{6BDB46F2-F835-4801-8CC8-DB4FD93B94FA}"/>
    <hyperlink ref="O230" r:id="rId452" xr:uid="{C9321E05-1CE4-45B0-8071-4E7D0F7AF8CE}"/>
    <hyperlink ref="N230" r:id="rId453" xr:uid="{70B1A18E-02F9-4EC4-8A78-BB218E8A4E1F}"/>
    <hyperlink ref="M230" r:id="rId454" xr:uid="{5461D270-CC38-407D-95EA-D839B893A723}"/>
    <hyperlink ref="M81" r:id="rId455" xr:uid="{1425CA6B-D5DB-4D9A-8AD4-F2A1B524830F}"/>
    <hyperlink ref="N89" r:id="rId456" xr:uid="{CDE41EA6-29A9-44D7-9381-18D1939FC769}"/>
    <hyperlink ref="M72" r:id="rId457" xr:uid="{59613997-FD02-47D9-9006-AB1623811897}"/>
    <hyperlink ref="M73" r:id="rId458" xr:uid="{FD4C0C84-1D78-4CD8-8E54-BC498A9B7FFE}"/>
    <hyperlink ref="M75" r:id="rId459" xr:uid="{43BF9A1A-9ABD-422C-BCED-13171414563A}"/>
    <hyperlink ref="N74" r:id="rId460" xr:uid="{E21EF876-D08A-4CD8-B8C0-6A4E336D4CB6}"/>
    <hyperlink ref="M74" r:id="rId461" xr:uid="{E571FB14-4BE0-486B-BFB8-724EA9B93008}"/>
    <hyperlink ref="N75" r:id="rId462" xr:uid="{D64FA5F9-9CE1-4E2D-9A4E-A17313084CD3}"/>
    <hyperlink ref="N76" r:id="rId463" xr:uid="{EE9933EA-06C9-430E-B4A0-225B2628AEF6}"/>
    <hyperlink ref="M76" r:id="rId464" xr:uid="{13DFE4FD-5422-4570-A8B0-F3F8F400347A}"/>
    <hyperlink ref="N77" r:id="rId465" xr:uid="{63F5A3A6-06E9-4C99-9DF7-46BE23F67877}"/>
    <hyperlink ref="M77" r:id="rId466" xr:uid="{7B9D82E4-B4A5-42B7-B860-F08528CC3A4E}"/>
    <hyperlink ref="N78" r:id="rId467" xr:uid="{F196155E-2D81-4649-9758-D18BC84CCEA1}"/>
    <hyperlink ref="M78" r:id="rId468" xr:uid="{557DF1C0-EB27-4B11-80EA-BB1DABB5AD09}"/>
    <hyperlink ref="N81" r:id="rId469" xr:uid="{513EF2A3-18E4-441D-8BB4-D847ED534777}"/>
    <hyperlink ref="N82" r:id="rId470" xr:uid="{21F39426-8C5B-4183-A09B-68F43AC24681}"/>
    <hyperlink ref="M82" r:id="rId471" xr:uid="{B761DA12-156A-40E3-82F0-E14273072CB6}"/>
    <hyperlink ref="N83" r:id="rId472" xr:uid="{0CEB2846-E351-4FD1-A73D-AD8C000ED25A}"/>
    <hyperlink ref="M83" r:id="rId473" xr:uid="{CEFAD84E-BF4F-4C1A-BD2E-9E2006A5278F}"/>
    <hyperlink ref="N85" r:id="rId474" xr:uid="{AB4F5EC5-80B7-480A-9178-941C2DEA237D}"/>
    <hyperlink ref="M85" r:id="rId475" xr:uid="{A50AD531-B6CB-4AD6-9D4A-380025BF7A6F}"/>
    <hyperlink ref="N86" r:id="rId476" xr:uid="{2AE3CD49-04E0-4404-9CC3-449F801DE39A}"/>
    <hyperlink ref="M86" r:id="rId477" xr:uid="{B1D64B6A-4F56-43AA-8663-D83BE4CB2B09}"/>
    <hyperlink ref="N88" r:id="rId478" xr:uid="{F11AE149-7B40-4A0E-8D34-5A0CEA0BBF6D}"/>
    <hyperlink ref="M88" r:id="rId479" xr:uid="{C27E1BC2-AD00-4895-AC05-431F9907F039}"/>
    <hyperlink ref="M89" r:id="rId480" xr:uid="{5319DEE7-1F33-4909-9415-ADA9308E7F78}"/>
    <hyperlink ref="N90" r:id="rId481" xr:uid="{7111D560-1CE9-43E8-B726-F260B4E10337}"/>
    <hyperlink ref="M90" r:id="rId482" xr:uid="{1C35E449-2714-4E7F-AC17-7864C387F219}"/>
    <hyperlink ref="N91" r:id="rId483" xr:uid="{04AB642B-BF59-4154-BE8E-2C404EA351C3}"/>
    <hyperlink ref="M91" r:id="rId484" xr:uid="{24398D8D-5D71-4364-8893-DC0227D320F8}"/>
    <hyperlink ref="N92" r:id="rId485" xr:uid="{DF300C6B-8206-4626-930E-98DAA5D626F7}"/>
    <hyperlink ref="M92" r:id="rId486" xr:uid="{EE70C2BC-D08E-4733-B3A4-3A080A0B4C19}"/>
    <hyperlink ref="N94" r:id="rId487" xr:uid="{8FEF0CEB-BF7A-4CB4-A86A-2C30737874C3}"/>
    <hyperlink ref="M94" r:id="rId488" xr:uid="{2018CD56-C9B9-46CA-9967-AB393E6B631A}"/>
    <hyperlink ref="N100" r:id="rId489" xr:uid="{EEBBA85F-6D9C-4E45-84AF-7F861E69C916}"/>
    <hyperlink ref="M100" r:id="rId490" xr:uid="{B9BCF5FE-C33F-44DD-8E55-53FD82477AA2}"/>
    <hyperlink ref="N101" r:id="rId491" xr:uid="{B095A0C1-3A2E-4DA9-89C1-A6E69AF0B7E1}"/>
    <hyperlink ref="M101" r:id="rId492" xr:uid="{6D7643B7-A367-4CC1-BBAD-776C4EAAFE6E}"/>
    <hyperlink ref="N102" r:id="rId493" xr:uid="{D0956791-90EB-487F-9A7D-5878F50CF6CC}"/>
    <hyperlink ref="M102" r:id="rId494" xr:uid="{4C3116A9-1013-4000-A193-60181B63F187}"/>
    <hyperlink ref="N103" r:id="rId495" xr:uid="{B6E20A14-B495-4D52-861A-E5082E7C762A}"/>
    <hyperlink ref="M103" r:id="rId496" xr:uid="{F3480473-96AF-4805-8B3D-F442C1F74372}"/>
    <hyperlink ref="N104" r:id="rId497" xr:uid="{720D395D-DBBB-4BF7-ABAC-E6ED85ACEE7E}"/>
    <hyperlink ref="M104" r:id="rId498" xr:uid="{353625AC-98DE-4A63-8F91-11429A2D6FF5}"/>
    <hyperlink ref="O101" r:id="rId499" xr:uid="{7A84DFA8-2168-44A4-8660-868405DBCA6B}"/>
    <hyperlink ref="O88" r:id="rId500" xr:uid="{6D1975EE-621E-4882-8807-CAE5DCC9C58D}"/>
    <hyperlink ref="O90" r:id="rId501" xr:uid="{24B67CA4-B55E-4DC0-8872-8E6EB89F6DFF}"/>
    <hyperlink ref="O89" r:id="rId502" xr:uid="{312FAF56-60AD-40F7-A9D6-412133B8D5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Momin</dc:creator>
  <cp:lastModifiedBy>Imran Ali</cp:lastModifiedBy>
  <dcterms:created xsi:type="dcterms:W3CDTF">2025-11-15T22:03:52Z</dcterms:created>
  <dcterms:modified xsi:type="dcterms:W3CDTF">2025-11-15T23:16:35Z</dcterms:modified>
</cp:coreProperties>
</file>